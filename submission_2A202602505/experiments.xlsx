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SGD+momentum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2.269061790045372</v>
      </c>
      <c r="Q2" s="34" t="n">
        <v>0.2314339528396745</v>
      </c>
      <c r="R2" s="33" t="n">
        <v>20</v>
      </c>
      <c r="S2" s="34" t="n">
        <v>0.2090857574987411</v>
      </c>
      <c r="T2" s="34" t="n">
        <v>0.2314339528396745</v>
      </c>
      <c r="U2" s="34" t="n">
        <v>0.9084572190787633</v>
      </c>
      <c r="V2" s="34" t="n">
        <v>0.8583715512810027</v>
      </c>
      <c r="W2" s="33" t="n">
        <v>1.30722397854999</v>
      </c>
      <c r="X2" s="33" t="n">
        <v>174.65087890625</v>
      </c>
      <c r="Y2" s="33" t="inlineStr">
        <is>
          <t>N</t>
        </is>
      </c>
      <c r="Z2" s="34" t="n">
        <v>0.9063535364835675</v>
      </c>
      <c r="AA2" s="34" t="n">
        <v>0.8618057842901915</v>
      </c>
      <c r="AB2" s="33" t="inlineStr">
        <is>
          <t>figures/base-s1.png</t>
        </is>
      </c>
      <c r="AC2" s="33" t="inlineStr"/>
      <c r="AD2" s="35">
        <f>IF(P2="","",P2-LN(7))</f>
        <v>0.3231516409900588</v>
      </c>
      <c r="AE2" s="35">
        <f>IF(OR(T2="",S2=""),"",T2-S2)</f>
        <v>0.022348195340933408</v>
      </c>
      <c r="AF2" s="35">
        <f>IF(OR(V2="",Seeds!$C$8=""),"",V2-Seeds!$C$8)</f>
        <v>0.002145435595624745</v>
      </c>
      <c r="AG2" s="35" t="str">
        <f>IF(OR(AF2="",Seeds!$C$10=""),"",IF(ABS(AF2)&gt;Seeds!$C$10,"Có","Không"))</f>
        <v>Không</v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SGD+momentum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1.978156701407081</v>
      </c>
      <c r="Q3" s="34" t="n">
        <v>0.2261094462700102</v>
      </c>
      <c r="R3" s="33" t="n">
        <v>20</v>
      </c>
      <c r="S3" s="34" t="n">
        <v>0.2032445024442673</v>
      </c>
      <c r="T3" s="34" t="n">
        <v>0.2261094462700102</v>
      </c>
      <c r="U3" s="34" t="n">
        <v>0.9097588261870442</v>
      </c>
      <c r="V3" s="34" t="n">
        <v>0.8552070258410341</v>
      </c>
      <c r="W3" s="33" t="n">
        <v>1.287956284549995</v>
      </c>
      <c r="X3" s="33" t="n">
        <v>174.833984375</v>
      </c>
      <c r="Y3" s="33" t="inlineStr">
        <is>
          <t>N</t>
        </is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>0.032246552351767876</v>
      </c>
      <c r="AE3" s="35">
        <f>IF(OR(T3="",S3=""),"",T3-S3)</f>
        <v>0.02286494382574289</v>
      </c>
      <c r="AF3" s="35">
        <f>IF(OR(V3="",Seeds!$C$8=""),"",V3-Seeds!$C$8)</f>
        <v>-0.0010190898443438456</v>
      </c>
      <c r="AG3" s="35" t="str">
        <f>IF(OR(AF3="",Seeds!$C$10=""),"",IF(ABS(AF3)&gt;Seeds!$C$10,"Có","Không"))</f>
        <v>Không</v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1.900539952366137</v>
      </c>
      <c r="Q4" s="34" t="n">
        <v>0.2275235552281999</v>
      </c>
      <c r="R4" s="33" t="n">
        <v>19</v>
      </c>
      <c r="S4" s="34" t="n">
        <v>0.2286240296459198</v>
      </c>
      <c r="T4" s="34" t="n">
        <v>0.2531549131813077</v>
      </c>
      <c r="U4" s="34" t="n">
        <v>0.909038101589897</v>
      </c>
      <c r="V4" s="34" t="n">
        <v>0.855099769934097</v>
      </c>
      <c r="W4" s="33" t="n">
        <v>1.353003190199996</v>
      </c>
      <c r="X4" s="33" t="n">
        <v>175.01708984375</v>
      </c>
      <c r="Y4" s="33" t="inlineStr">
        <is>
          <t>N</t>
        </is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>-0.04537019668917619</v>
      </c>
      <c r="AE4" s="35">
        <f>IF(OR(T4="",S4=""),"",T4-S4)</f>
        <v>0.024530883535387876</v>
      </c>
      <c r="AF4" s="35">
        <f>IF(OR(V4="",Seeds!$C$8=""),"",V4-Seeds!$C$8)</f>
        <v>-0.0011263457512810104</v>
      </c>
      <c r="AG4" s="35" t="str">
        <f>IF(OR(AF4="",Seeds!$C$10=""),"",IF(ABS(AF4)&gt;Seeds!$C$10,"Có","Không"))</f>
        <v>Không</v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trên one-hot thay cho CE</t>
        </is>
      </c>
      <c r="D5" s="33" t="inlineStr">
        <is>
          <t>MSE</t>
        </is>
      </c>
      <c r="E5" s="33" t="inlineStr">
        <is>
          <t>SGD+momentum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0.6358503485292235</v>
      </c>
      <c r="Q5" s="34" t="n">
        <v>0.02938536776244206</v>
      </c>
      <c r="R5" s="33" t="n">
        <v>19</v>
      </c>
      <c r="S5" s="34" t="n">
        <v>0.02851851956784725</v>
      </c>
      <c r="T5" s="34" t="n">
        <v>0.02944104384266813</v>
      </c>
      <c r="U5" s="34" t="n">
        <v>0.8712592241991352</v>
      </c>
      <c r="V5" s="34" t="n">
        <v>0.7329457283393463</v>
      </c>
      <c r="W5" s="33" t="n">
        <v>1.383818808850015</v>
      </c>
      <c r="X5" s="33" t="n">
        <v>175.20361328125</v>
      </c>
      <c r="Y5" s="33" t="inlineStr">
        <is>
          <t>N</t>
        </is>
      </c>
      <c r="Z5" s="34" t="n"/>
      <c r="AA5" s="34" t="n"/>
      <c r="AB5" s="33" t="inlineStr">
        <is>
          <t>figures/loss-mse.png</t>
        </is>
      </c>
      <c r="AC5" s="33" t="inlineStr">
        <is>
          <t>MSE trung bình trên B×7 phần tử, không hệ số 1/2; khác thang đo CE nên chỉ so acc/F1</t>
        </is>
      </c>
      <c r="AD5" s="35">
        <f>IF(P5="","",P5-LN(7))</f>
        <v>-1.3100598005260897</v>
      </c>
      <c r="AE5" s="35">
        <f>IF(OR(T5="",S5=""),"",T5-S5)</f>
        <v>0.0009225242748208788</v>
      </c>
      <c r="AF5" s="35">
        <f>IF(OR(V5="",Seeds!$C$8=""),"",V5-Seeds!$C$8)</f>
        <v>-0.12328038734603164</v>
      </c>
      <c r="AG5" s="35" t="str">
        <f>IF(OR(AF5="",Seeds!$C$10=""),"",IF(ABS(AF5)&gt;Seeds!$C$10,"Có","Không"))</f>
        <v>Có</v>
      </c>
    </row>
    <row r="6" ht="15" customHeight="1" s="20">
      <c r="A6" s="33" t="inlineStr">
        <is>
          <t>opt-adam-lr0.0003</t>
        </is>
      </c>
      <c r="B6" s="33" t="inlineStr">
        <is>
          <t>optimizer</t>
        </is>
      </c>
      <c r="C6" s="33" t="inlineStr">
        <is>
          <t>Adam, lr=0.0003</t>
        </is>
      </c>
      <c r="D6" s="33" t="inlineStr">
        <is>
          <t>CE</t>
        </is>
      </c>
      <c r="E6" s="33" t="inlineStr">
        <is>
          <t>Adam</t>
        </is>
      </c>
      <c r="F6" s="33" t="n">
        <v>0.0003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2.269061790045372</v>
      </c>
      <c r="Q6" s="34" t="n">
        <v>0.3080369253127896</v>
      </c>
      <c r="R6" s="33" t="n">
        <v>20</v>
      </c>
      <c r="S6" s="34" t="n">
        <v>0.2979274312591553</v>
      </c>
      <c r="T6" s="34" t="n">
        <v>0.3080369253127896</v>
      </c>
      <c r="U6" s="34" t="n">
        <v>0.876142940126073</v>
      </c>
      <c r="V6" s="34" t="n">
        <v>0.7954779337668624</v>
      </c>
      <c r="W6" s="33" t="n">
        <v>1.477917918100013</v>
      </c>
      <c r="X6" s="33" t="n">
        <v>175.74951171875</v>
      </c>
      <c r="Y6" s="33" t="inlineStr">
        <is>
          <t>N</t>
        </is>
      </c>
      <c r="Z6" s="34" t="n"/>
      <c r="AA6" s="34" t="n"/>
      <c r="AB6" s="33" t="inlineStr">
        <is>
          <t>figures/opt-adam-lr0.0003.png</t>
        </is>
      </c>
      <c r="AC6" s="33" t="inlineStr"/>
      <c r="AD6" s="35">
        <f>IF(P6="","",P6-LN(7))</f>
        <v>0.3231516409900588</v>
      </c>
      <c r="AE6" s="35">
        <f>IF(OR(T6="",S6=""),"",T6-S6)</f>
        <v>0.010109494053634316</v>
      </c>
      <c r="AF6" s="35">
        <f>IF(OR(V6="",Seeds!$C$8=""),"",V6-Seeds!$C$8)</f>
        <v>-0.06074818191851561</v>
      </c>
      <c r="AG6" s="35" t="str">
        <f>IF(OR(AF6="",Seeds!$C$10=""),"",IF(ABS(AF6)&gt;Seeds!$C$10,"Có","Không"))</f>
        <v>Có</v>
      </c>
    </row>
    <row r="7" ht="15" customHeight="1" s="20">
      <c r="A7" s="33" t="inlineStr">
        <is>
          <t>opt-adam-lr0.001</t>
        </is>
      </c>
      <c r="B7" s="33" t="inlineStr">
        <is>
          <t>optimizer</t>
        </is>
      </c>
      <c r="C7" s="33" t="inlineStr">
        <is>
          <t>Adam, lr=0.001</t>
        </is>
      </c>
      <c r="D7" s="33" t="inlineStr">
        <is>
          <t>CE</t>
        </is>
      </c>
      <c r="E7" s="33" t="inlineStr">
        <is>
          <t>Adam</t>
        </is>
      </c>
      <c r="F7" s="33" t="n">
        <v>0.001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2.269061790045372</v>
      </c>
      <c r="Q7" s="34" t="n">
        <v>0.2420123788511093</v>
      </c>
      <c r="R7" s="33" t="n">
        <v>18</v>
      </c>
      <c r="S7" s="34" t="n">
        <v>0.2268814312362671</v>
      </c>
      <c r="T7" s="34" t="n">
        <v>0.2490901547007008</v>
      </c>
      <c r="U7" s="34" t="n">
        <v>0.9032615477291797</v>
      </c>
      <c r="V7" s="34" t="n">
        <v>0.8436950082034838</v>
      </c>
      <c r="W7" s="33" t="n">
        <v>1.447379757199997</v>
      </c>
      <c r="X7" s="33" t="n">
        <v>175.9326171875</v>
      </c>
      <c r="Y7" s="33" t="inlineStr">
        <is>
          <t>N</t>
        </is>
      </c>
      <c r="Z7" s="34" t="n"/>
      <c r="AA7" s="34" t="n"/>
      <c r="AB7" s="33" t="inlineStr">
        <is>
          <t>figures/opt-adam-lr0.001.png</t>
        </is>
      </c>
      <c r="AC7" s="33" t="inlineStr"/>
      <c r="AD7" s="35">
        <f>IF(P7="","",P7-LN(7))</f>
        <v>0.3231516409900588</v>
      </c>
      <c r="AE7" s="35">
        <f>IF(OR(T7="",S7=""),"",T7-S7)</f>
        <v>0.0222087234644337</v>
      </c>
      <c r="AF7" s="35">
        <f>IF(OR(V7="",Seeds!$C$8=""),"",V7-Seeds!$C$8)</f>
        <v>-0.012531107481894233</v>
      </c>
      <c r="AG7" s="35" t="str">
        <f>IF(OR(AF7="",Seeds!$C$10=""),"",IF(ABS(AF7)&gt;Seeds!$C$10,"Có","Không"))</f>
        <v>Có</v>
      </c>
    </row>
    <row r="8" ht="15" customHeight="1" s="20">
      <c r="A8" s="33" t="inlineStr">
        <is>
          <t>opt-adam-lr0.003</t>
        </is>
      </c>
      <c r="B8" s="33" t="inlineStr">
        <is>
          <t>optimizer</t>
        </is>
      </c>
      <c r="C8" s="33" t="inlineStr">
        <is>
          <t>Adam, lr=0.003</t>
        </is>
      </c>
      <c r="D8" s="33" t="inlineStr">
        <is>
          <t>CE</t>
        </is>
      </c>
      <c r="E8" s="33" t="inlineStr">
        <is>
          <t>Adam</t>
        </is>
      </c>
      <c r="F8" s="33" t="n">
        <v>0.003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2.269061790045372</v>
      </c>
      <c r="Q8" s="34" t="n">
        <v>0.2100769950030493</v>
      </c>
      <c r="R8" s="33" t="n">
        <v>18</v>
      </c>
      <c r="S8" s="34" t="n">
        <v>0.1828039140701294</v>
      </c>
      <c r="T8" s="34" t="n">
        <v>0.2109567176221465</v>
      </c>
      <c r="U8" s="34" t="n">
        <v>0.9177620963404401</v>
      </c>
      <c r="V8" s="34" t="n">
        <v>0.8682968103006484</v>
      </c>
      <c r="W8" s="33" t="n">
        <v>1.436207234449995</v>
      </c>
      <c r="X8" s="33" t="n">
        <v>176.11572265625</v>
      </c>
      <c r="Y8" s="33" t="inlineStr">
        <is>
          <t>N</t>
        </is>
      </c>
      <c r="Z8" s="34" t="n"/>
      <c r="AA8" s="34" t="n"/>
      <c r="AB8" s="33" t="inlineStr">
        <is>
          <t>figures/opt-adam-lr0.003.png</t>
        </is>
      </c>
      <c r="AC8" s="33" t="inlineStr"/>
      <c r="AD8" s="35">
        <f>IF(P8="","",P8-LN(7))</f>
        <v>0.3231516409900588</v>
      </c>
      <c r="AE8" s="35">
        <f>IF(OR(T8="",S8=""),"",T8-S8)</f>
        <v>0.028152803552017103</v>
      </c>
      <c r="AF8" s="35">
        <f>IF(OR(V8="",Seeds!$C$8=""),"",V8-Seeds!$C$8)</f>
        <v>0.012070694615270439</v>
      </c>
      <c r="AG8" s="35" t="str">
        <f>IF(OR(AF8="",Seeds!$C$10=""),"",IF(ABS(AF8)&gt;Seeds!$C$10,"Có","Không"))</f>
        <v>Có</v>
      </c>
    </row>
    <row r="9" ht="15" customHeight="1" s="20">
      <c r="A9" s="33" t="inlineStr">
        <is>
          <t>opt-adam-lr0.01</t>
        </is>
      </c>
      <c r="B9" s="33" t="inlineStr">
        <is>
          <t>optimizer</t>
        </is>
      </c>
      <c r="C9" s="33" t="inlineStr">
        <is>
          <t>Adam, lr=0.01</t>
        </is>
      </c>
      <c r="D9" s="33" t="inlineStr">
        <is>
          <t>CE</t>
        </is>
      </c>
      <c r="E9" s="33" t="inlineStr">
        <is>
          <t>Adam</t>
        </is>
      </c>
      <c r="F9" s="33" t="n">
        <v>0.01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2.269061790045372</v>
      </c>
      <c r="Q9" s="34" t="n">
        <v>0.2134575131504048</v>
      </c>
      <c r="R9" s="33" t="n">
        <v>20</v>
      </c>
      <c r="S9" s="34" t="n">
        <v>0.1851857610082626</v>
      </c>
      <c r="T9" s="34" t="n">
        <v>0.2134575131504048</v>
      </c>
      <c r="U9" s="34" t="n">
        <v>0.9161485338095136</v>
      </c>
      <c r="V9" s="34" t="n">
        <v>0.8611435658792601</v>
      </c>
      <c r="W9" s="33" t="n">
        <v>1.476889457499988</v>
      </c>
      <c r="X9" s="33" t="n">
        <v>176.298828125</v>
      </c>
      <c r="Y9" s="33" t="inlineStr">
        <is>
          <t>N</t>
        </is>
      </c>
      <c r="Z9" s="34" t="n"/>
      <c r="AA9" s="34" t="n"/>
      <c r="AB9" s="33" t="inlineStr">
        <is>
          <t>figures/opt-adam-lr0.01.png</t>
        </is>
      </c>
      <c r="AC9" s="33" t="inlineStr"/>
      <c r="AD9" s="35">
        <f>IF(P9="","",P9-LN(7))</f>
        <v>0.3231516409900588</v>
      </c>
      <c r="AE9" s="35">
        <f>IF(OR(T9="",S9=""),"",T9-S9)</f>
        <v>0.028271752142142198</v>
      </c>
      <c r="AF9" s="35">
        <f>IF(OR(V9="",Seeds!$C$8=""),"",V9-Seeds!$C$8)</f>
        <v>0.0049174501938821225</v>
      </c>
      <c r="AG9" s="35" t="str">
        <f>IF(OR(AF9="",Seeds!$C$10=""),"",IF(ABS(AF9)&gt;Seeds!$C$10,"Có","Không"))</f>
        <v>Có</v>
      </c>
    </row>
    <row r="10" ht="15" customHeight="1" s="20">
      <c r="A10" s="33" t="inlineStr">
        <is>
          <t>opt-adamw-lr0.001</t>
        </is>
      </c>
      <c r="B10" s="33" t="inlineStr">
        <is>
          <t>optimizer</t>
        </is>
      </c>
      <c r="C10" s="33" t="inlineStr">
        <is>
          <t>AdamW wd=0.01, lr=0.001</t>
        </is>
      </c>
      <c r="D10" s="33" t="inlineStr">
        <is>
          <t>CE</t>
        </is>
      </c>
      <c r="E10" s="33" t="inlineStr">
        <is>
          <t>AdamW</t>
        </is>
      </c>
      <c r="F10" s="33" t="n">
        <v>0.001</v>
      </c>
      <c r="G10" s="33" t="n">
        <v>0.01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2.269061790045372</v>
      </c>
      <c r="Q10" s="34" t="n">
        <v>0.2491275953539565</v>
      </c>
      <c r="R10" s="33" t="n">
        <v>18</v>
      </c>
      <c r="S10" s="34" t="n">
        <v>0.2309274870634079</v>
      </c>
      <c r="T10" s="34" t="n">
        <v>0.2513863605692102</v>
      </c>
      <c r="U10" s="34" t="n">
        <v>0.8996794389105226</v>
      </c>
      <c r="V10" s="34" t="n">
        <v>0.8398323634047135</v>
      </c>
      <c r="W10" s="33" t="n">
        <v>1.451636313450013</v>
      </c>
      <c r="X10" s="33" t="n">
        <v>176.48193359375</v>
      </c>
      <c r="Y10" s="33" t="inlineStr">
        <is>
          <t>N</t>
        </is>
      </c>
      <c r="Z10" s="34" t="n"/>
      <c r="AA10" s="34" t="n"/>
      <c r="AB10" s="33" t="inlineStr">
        <is>
          <t>figures/opt-adamw-lr0.001.png</t>
        </is>
      </c>
      <c r="AC10" s="33" t="inlineStr"/>
      <c r="AD10" s="35">
        <f>IF(P10="","",P10-LN(7))</f>
        <v>0.3231516409900588</v>
      </c>
      <c r="AE10" s="35">
        <f>IF(OR(T10="",S10=""),"",T10-S10)</f>
        <v>0.020458873505802305</v>
      </c>
      <c r="AF10" s="35">
        <f>IF(OR(V10="",Seeds!$C$8=""),"",V10-Seeds!$C$8)</f>
        <v>-0.01639375228066453</v>
      </c>
      <c r="AG10" s="35" t="str">
        <f>IF(OR(AF10="",Seeds!$C$10=""),"",IF(ABS(AF10)&gt;Seeds!$C$10,"Có","Không"))</f>
        <v>Có</v>
      </c>
    </row>
    <row r="11" ht="15" customHeight="1" s="20">
      <c r="A11" s="33" t="inlineStr">
        <is>
          <t>opt-adamw-lr0.003</t>
        </is>
      </c>
      <c r="B11" s="33" t="inlineStr">
        <is>
          <t>optimizer</t>
        </is>
      </c>
      <c r="C11" s="33" t="inlineStr">
        <is>
          <t>AdamW wd=0.01, lr=0.003</t>
        </is>
      </c>
      <c r="D11" s="33" t="inlineStr">
        <is>
          <t>CE</t>
        </is>
      </c>
      <c r="E11" s="33" t="inlineStr">
        <is>
          <t>AdamW</t>
        </is>
      </c>
      <c r="F11" s="33" t="n">
        <v>0.003</v>
      </c>
      <c r="G11" s="33" t="n">
        <v>0.01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2.269061790045372</v>
      </c>
      <c r="Q11" s="34" t="n">
        <v>0.2131461970661499</v>
      </c>
      <c r="R11" s="33" t="n">
        <v>20</v>
      </c>
      <c r="S11" s="34" t="n">
        <v>0.1901735869693756</v>
      </c>
      <c r="T11" s="34" t="n">
        <v>0.2131461970661499</v>
      </c>
      <c r="U11" s="34" t="n">
        <v>0.9136851616789656</v>
      </c>
      <c r="V11" s="34" t="n">
        <v>0.8757280429905576</v>
      </c>
      <c r="W11" s="33" t="n">
        <v>1.503294987050003</v>
      </c>
      <c r="X11" s="33" t="n">
        <v>176.6650390625</v>
      </c>
      <c r="Y11" s="33" t="inlineStr">
        <is>
          <t>N</t>
        </is>
      </c>
      <c r="Z11" s="34" t="n"/>
      <c r="AA11" s="34" t="n"/>
      <c r="AB11" s="33" t="inlineStr">
        <is>
          <t>figures/opt-adamw-lr0.003.png</t>
        </is>
      </c>
      <c r="AC11" s="33" t="inlineStr"/>
      <c r="AD11" s="35">
        <f>IF(P11="","",P11-LN(7))</f>
        <v>0.3231516409900588</v>
      </c>
      <c r="AE11" s="35">
        <f>IF(OR(T11="",S11=""),"",T11-S11)</f>
        <v>0.022972610096774287</v>
      </c>
      <c r="AF11" s="35">
        <f>IF(OR(V11="",Seeds!$C$8=""),"",V11-Seeds!$C$8)</f>
        <v>0.019501927305179634</v>
      </c>
      <c r="AG11" s="35" t="str">
        <f>IF(OR(AF11="",Seeds!$C$10=""),"",IF(ABS(AF11)&gt;Seeds!$C$10,"Có","Không"))</f>
        <v>Có</v>
      </c>
    </row>
    <row r="12" ht="15" customHeight="1" s="20">
      <c r="A12" s="33" t="inlineStr">
        <is>
          <t>opt-adamw-lr0.01</t>
        </is>
      </c>
      <c r="B12" s="33" t="inlineStr">
        <is>
          <t>optimizer</t>
        </is>
      </c>
      <c r="C12" s="33" t="inlineStr">
        <is>
          <t>AdamW wd=0.01, lr=0.01</t>
        </is>
      </c>
      <c r="D12" s="33" t="inlineStr">
        <is>
          <t>CE</t>
        </is>
      </c>
      <c r="E12" s="33" t="inlineStr">
        <is>
          <t>AdamW</t>
        </is>
      </c>
      <c r="F12" s="33" t="n">
        <v>0.01</v>
      </c>
      <c r="G12" s="33" t="n">
        <v>0.01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2.269061790045372</v>
      </c>
      <c r="Q12" s="34" t="n">
        <v>0.2314941357326001</v>
      </c>
      <c r="R12" s="33" t="n">
        <v>20</v>
      </c>
      <c r="S12" s="34" t="n">
        <v>0.2080247996854782</v>
      </c>
      <c r="T12" s="34" t="n">
        <v>0.2314941357326001</v>
      </c>
      <c r="U12" s="34" t="n">
        <v>0.9084572190787633</v>
      </c>
      <c r="V12" s="34" t="n">
        <v>0.8516448439335627</v>
      </c>
      <c r="W12" s="33" t="n">
        <v>1.491155945449987</v>
      </c>
      <c r="X12" s="33" t="n">
        <v>176.84814453125</v>
      </c>
      <c r="Y12" s="33" t="inlineStr">
        <is>
          <t>N</t>
        </is>
      </c>
      <c r="Z12" s="34" t="n"/>
      <c r="AA12" s="34" t="n"/>
      <c r="AB12" s="33" t="inlineStr">
        <is>
          <t>figures/opt-adamw-lr0.01.png</t>
        </is>
      </c>
      <c r="AC12" s="33" t="inlineStr"/>
      <c r="AD12" s="35">
        <f>IF(P12="","",P12-LN(7))</f>
        <v>0.3231516409900588</v>
      </c>
      <c r="AE12" s="35">
        <f>IF(OR(T12="",S12=""),"",T12-S12)</f>
        <v>0.023469336047121897</v>
      </c>
      <c r="AF12" s="35">
        <f>IF(OR(V12="",Seeds!$C$8=""),"",V12-Seeds!$C$8)</f>
        <v>-0.00458127175181533</v>
      </c>
      <c r="AG12" s="35" t="str">
        <f>IF(OR(AF12="",Seeds!$C$10=""),"",IF(ABS(AF12)&gt;Seeds!$C$10,"Có","Không"))</f>
        <v>Có</v>
      </c>
    </row>
    <row r="13" ht="15" customHeight="1" s="20">
      <c r="A13" s="33" t="inlineStr">
        <is>
          <t>opt-sgd-lr0.1</t>
        </is>
      </c>
      <c r="B13" s="33" t="inlineStr">
        <is>
          <t>optimizer</t>
        </is>
      </c>
      <c r="C13" s="33" t="inlineStr">
        <is>
          <t>SGD (không momentum), lr=0.1</t>
        </is>
      </c>
      <c r="D13" s="33" t="inlineStr">
        <is>
          <t>CE</t>
        </is>
      </c>
      <c r="E13" s="33" t="inlineStr">
        <is>
          <t>SGD</t>
        </is>
      </c>
      <c r="F13" s="33" t="n">
        <v>0.1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2.269061790045372</v>
      </c>
      <c r="Q13" s="34" t="n">
        <v>0.3428688867798294</v>
      </c>
      <c r="R13" s="33" t="n">
        <v>18</v>
      </c>
      <c r="S13" s="34" t="n">
        <v>0.4057204490280151</v>
      </c>
      <c r="T13" s="34" t="n">
        <v>0.4147266950652643</v>
      </c>
      <c r="U13" s="34" t="n">
        <v>0.8580280114455369</v>
      </c>
      <c r="V13" s="34" t="n">
        <v>0.7396894743644629</v>
      </c>
      <c r="W13" s="33" t="n">
        <v>1.280144946499996</v>
      </c>
      <c r="X13" s="33" t="n">
        <v>174.833984375</v>
      </c>
      <c r="Y13" s="33" t="inlineStr">
        <is>
          <t>N</t>
        </is>
      </c>
      <c r="Z13" s="34" t="n"/>
      <c r="AA13" s="34" t="n"/>
      <c r="AB13" s="33" t="inlineStr">
        <is>
          <t>figures/opt-sgd-lr0.1.png</t>
        </is>
      </c>
      <c r="AC13" s="33" t="inlineStr"/>
      <c r="AD13" s="35">
        <f>IF(P13="","",P13-LN(7))</f>
        <v>0.3231516409900588</v>
      </c>
      <c r="AE13" s="35">
        <f>IF(OR(T13="",S13=""),"",T13-S13)</f>
        <v>0.0090062460372492</v>
      </c>
      <c r="AF13" s="35">
        <f>IF(OR(V13="",Seeds!$C$8=""),"",V13-Seeds!$C$8)</f>
        <v>-0.11653664132091512</v>
      </c>
      <c r="AG13" s="35" t="str">
        <f>IF(OR(AF13="",Seeds!$C$10=""),"",IF(ABS(AF13)&gt;Seeds!$C$10,"Có","Không"))</f>
        <v>Có</v>
      </c>
    </row>
    <row r="14" ht="15" customHeight="1" s="20">
      <c r="A14" s="33" t="inlineStr">
        <is>
          <t>opt-sgd-lr0.3</t>
        </is>
      </c>
      <c r="B14" s="33" t="inlineStr">
        <is>
          <t>optimizer</t>
        </is>
      </c>
      <c r="C14" s="33" t="inlineStr">
        <is>
          <t>SGD (không momentum), lr=0.3</t>
        </is>
      </c>
      <c r="D14" s="33" t="inlineStr">
        <is>
          <t>CE</t>
        </is>
      </c>
      <c r="E14" s="33" t="inlineStr">
        <is>
          <t>SGD</t>
        </is>
      </c>
      <c r="F14" s="33" t="n">
        <v>0.3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2.269061790045372</v>
      </c>
      <c r="Q14" s="34" t="n">
        <v>0.2890456371200579</v>
      </c>
      <c r="R14" s="33" t="n">
        <v>19</v>
      </c>
      <c r="S14" s="34" t="n">
        <v>0.341210927658081</v>
      </c>
      <c r="T14" s="34" t="n">
        <v>0.3580904447635622</v>
      </c>
      <c r="U14" s="34" t="n">
        <v>0.8808868139669973</v>
      </c>
      <c r="V14" s="34" t="n">
        <v>0.8008385536924604</v>
      </c>
      <c r="W14" s="33" t="n">
        <v>1.300048558899988</v>
      </c>
      <c r="X14" s="33" t="n">
        <v>175.01708984375</v>
      </c>
      <c r="Y14" s="33" t="inlineStr">
        <is>
          <t>N</t>
        </is>
      </c>
      <c r="Z14" s="34" t="n"/>
      <c r="AA14" s="34" t="n"/>
      <c r="AB14" s="33" t="inlineStr">
        <is>
          <t>figures/opt-sgd-lr0.3.png</t>
        </is>
      </c>
      <c r="AC14" s="33" t="inlineStr"/>
      <c r="AD14" s="35">
        <f>IF(P14="","",P14-LN(7))</f>
        <v>0.3231516409900588</v>
      </c>
      <c r="AE14" s="35">
        <f>IF(OR(T14="",S14=""),"",T14-S14)</f>
        <v>0.016879517105481245</v>
      </c>
      <c r="AF14" s="35">
        <f>IF(OR(V14="",Seeds!$C$8=""),"",V14-Seeds!$C$8)</f>
        <v>-0.05538756199291761</v>
      </c>
      <c r="AG14" s="35" t="str">
        <f>IF(OR(AF14="",Seeds!$C$10=""),"",IF(ABS(AF14)&gt;Seeds!$C$10,"Có","Không"))</f>
        <v>Có</v>
      </c>
    </row>
    <row r="15" ht="15" customHeight="1" s="20">
      <c r="A15" s="33" t="inlineStr">
        <is>
          <t>opt-sgd-lr1</t>
        </is>
      </c>
      <c r="B15" s="33" t="inlineStr">
        <is>
          <t>optimizer</t>
        </is>
      </c>
      <c r="C15" s="33" t="inlineStr">
        <is>
          <t>SGD (không momentum), lr=1</t>
        </is>
      </c>
      <c r="D15" s="33" t="inlineStr">
        <is>
          <t>CE</t>
        </is>
      </c>
      <c r="E15" s="33" t="inlineStr">
        <is>
          <t>SGD</t>
        </is>
      </c>
      <c r="F15" s="33" t="n">
        <v>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2.269061790045372</v>
      </c>
      <c r="Q15" s="34" t="n">
        <v>0.266150714263369</v>
      </c>
      <c r="R15" s="33" t="n">
        <v>15</v>
      </c>
      <c r="S15" s="34" t="n">
        <v>0.2880960279369355</v>
      </c>
      <c r="T15" s="34" t="n">
        <v>0.3140155108667318</v>
      </c>
      <c r="U15" s="34" t="n">
        <v>0.8924076504378133</v>
      </c>
      <c r="V15" s="34" t="n">
        <v>0.8100299313825327</v>
      </c>
      <c r="W15" s="33" t="n">
        <v>1.257650092450001</v>
      </c>
      <c r="X15" s="33" t="n">
        <v>175.2001953125</v>
      </c>
      <c r="Y15" s="33" t="inlineStr">
        <is>
          <t>N</t>
        </is>
      </c>
      <c r="Z15" s="34" t="n"/>
      <c r="AA15" s="34" t="n"/>
      <c r="AB15" s="33" t="inlineStr">
        <is>
          <t>figures/opt-sgd-lr1.png</t>
        </is>
      </c>
      <c r="AC15" s="33" t="inlineStr"/>
      <c r="AD15" s="35">
        <f>IF(P15="","",P15-LN(7))</f>
        <v>0.3231516409900588</v>
      </c>
      <c r="AE15" s="35">
        <f>IF(OR(T15="",S15=""),"",T15-S15)</f>
        <v>0.02591948292979629</v>
      </c>
      <c r="AF15" s="35">
        <f>IF(OR(V15="",Seeds!$C$8=""),"",V15-Seeds!$C$8)</f>
        <v>-0.04619618430284533</v>
      </c>
      <c r="AG15" s="35" t="str">
        <f>IF(OR(AF15="",Seeds!$C$10=""),"",IF(ABS(AF15)&gt;Seeds!$C$10,"Có","Không"))</f>
        <v>Có</v>
      </c>
    </row>
    <row r="16" ht="15" customHeight="1" s="20">
      <c r="A16" s="33" t="inlineStr">
        <is>
          <t>opt-sgdm-lr0.01</t>
        </is>
      </c>
      <c r="B16" s="33" t="inlineStr">
        <is>
          <t>optimizer</t>
        </is>
      </c>
      <c r="C16" s="33" t="inlineStr">
        <is>
          <t>SGD+momentum 0.9, lr=0.01 (quét lr để chọn lr baseline)</t>
        </is>
      </c>
      <c r="D16" s="33" t="inlineStr">
        <is>
          <t>CE</t>
        </is>
      </c>
      <c r="E16" s="33" t="inlineStr">
        <is>
          <t>SGD+momentum</t>
        </is>
      </c>
      <c r="F16" s="33" t="n">
        <v>0.01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2.269061790045372</v>
      </c>
      <c r="Q16" s="34" t="n">
        <v>0.3171001838789101</v>
      </c>
      <c r="R16" s="33" t="n">
        <v>19</v>
      </c>
      <c r="S16" s="34" t="n">
        <v>0.3185483439445496</v>
      </c>
      <c r="T16" s="34" t="n">
        <v>0.329368623594817</v>
      </c>
      <c r="U16" s="34" t="n">
        <v>0.8715819367053205</v>
      </c>
      <c r="V16" s="34" t="n">
        <v>0.7637068422399647</v>
      </c>
      <c r="W16" s="33" t="n">
        <v>1.334699686149997</v>
      </c>
      <c r="X16" s="33" t="n">
        <v>173.91845703125</v>
      </c>
      <c r="Y16" s="33" t="inlineStr">
        <is>
          <t>N</t>
        </is>
      </c>
      <c r="Z16" s="34" t="n"/>
      <c r="AA16" s="34" t="n"/>
      <c r="AB16" s="33" t="inlineStr">
        <is>
          <t>figures/opt-sgdm-lr0.01.png</t>
        </is>
      </c>
      <c r="AC16" s="33" t="inlineStr"/>
      <c r="AD16" s="35">
        <f>IF(P16="","",P16-LN(7))</f>
        <v>0.3231516409900588</v>
      </c>
      <c r="AE16" s="35">
        <f>IF(OR(T16="",S16=""),"",T16-S16)</f>
        <v>0.010820279650267384</v>
      </c>
      <c r="AF16" s="35">
        <f>IF(OR(V16="",Seeds!$C$8=""),"",V16-Seeds!$C$8)</f>
        <v>-0.09251927344541333</v>
      </c>
      <c r="AG16" s="35" t="str">
        <f>IF(OR(AF16="",Seeds!$C$10=""),"",IF(ABS(AF16)&gt;Seeds!$C$10,"Có","Không"))</f>
        <v>Có</v>
      </c>
    </row>
    <row r="17" ht="15" customHeight="1" s="20">
      <c r="A17" s="33" t="inlineStr">
        <is>
          <t>opt-sgdm-lr0.03</t>
        </is>
      </c>
      <c r="B17" s="33" t="inlineStr">
        <is>
          <t>optimizer</t>
        </is>
      </c>
      <c r="C17" s="33" t="inlineStr">
        <is>
          <t>SGD+momentum 0.9, lr=0.03 (quét lr để chọn lr baseline)</t>
        </is>
      </c>
      <c r="D17" s="33" t="inlineStr">
        <is>
          <t>CE</t>
        </is>
      </c>
      <c r="E17" s="33" t="inlineStr">
        <is>
          <t>SGD+momentum</t>
        </is>
      </c>
      <c r="F17" s="33" t="n">
        <v>0.03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2.269061790045372</v>
      </c>
      <c r="Q17" s="34" t="n">
        <v>0.2584378653987981</v>
      </c>
      <c r="R17" s="33" t="n">
        <v>20</v>
      </c>
      <c r="S17" s="34" t="n">
        <v>0.2431146942090988</v>
      </c>
      <c r="T17" s="34" t="n">
        <v>0.2584378653987981</v>
      </c>
      <c r="U17" s="34" t="n">
        <v>0.8959144596716938</v>
      </c>
      <c r="V17" s="34" t="n">
        <v>0.8258462248177834</v>
      </c>
      <c r="W17" s="33" t="n">
        <v>1.327462893849997</v>
      </c>
      <c r="X17" s="33" t="n">
        <v>174.1015625</v>
      </c>
      <c r="Y17" s="33" t="inlineStr">
        <is>
          <t>N</t>
        </is>
      </c>
      <c r="Z17" s="34" t="n"/>
      <c r="AA17" s="34" t="n"/>
      <c r="AB17" s="33" t="inlineStr">
        <is>
          <t>figures/opt-sgdm-lr0.03.png</t>
        </is>
      </c>
      <c r="AC17" s="33" t="inlineStr"/>
      <c r="AD17" s="35">
        <f>IF(P17="","",P17-LN(7))</f>
        <v>0.3231516409900588</v>
      </c>
      <c r="AE17" s="35">
        <f>IF(OR(T17="",S17=""),"",T17-S17)</f>
        <v>0.015323171189699308</v>
      </c>
      <c r="AF17" s="35">
        <f>IF(OR(V17="",Seeds!$C$8=""),"",V17-Seeds!$C$8)</f>
        <v>-0.030379890867594628</v>
      </c>
      <c r="AG17" s="35" t="str">
        <f>IF(OR(AF17="",Seeds!$C$10=""),"",IF(ABS(AF17)&gt;Seeds!$C$10,"Có","Không"))</f>
        <v>Có</v>
      </c>
    </row>
    <row r="18" ht="15" customHeight="1" s="20">
      <c r="A18" s="33" t="inlineStr">
        <is>
          <t>opt-sgdm-lr0.1</t>
        </is>
      </c>
      <c r="B18" s="33" t="inlineStr">
        <is>
          <t>optimizer</t>
        </is>
      </c>
      <c r="C18" s="33" t="inlineStr">
        <is>
          <t>SGD+momentum 0.9, lr=0.1 (quét lr để chọn lr baseline)</t>
        </is>
      </c>
      <c r="D18" s="33" t="inlineStr">
        <is>
          <t>CE</t>
        </is>
      </c>
      <c r="E18" s="33" t="inlineStr">
        <is>
          <t>SGD+momentum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2.269061790045372</v>
      </c>
      <c r="Q18" s="34" t="n">
        <v>0.2314339528396745</v>
      </c>
      <c r="R18" s="33" t="n">
        <v>20</v>
      </c>
      <c r="S18" s="34" t="n">
        <v>0.2090857574987411</v>
      </c>
      <c r="T18" s="34" t="n">
        <v>0.2314339528396745</v>
      </c>
      <c r="U18" s="34" t="n">
        <v>0.9084572190787633</v>
      </c>
      <c r="V18" s="34" t="n">
        <v>0.8583715512810027</v>
      </c>
      <c r="W18" s="33" t="n">
        <v>1.298193770250003</v>
      </c>
      <c r="X18" s="33" t="n">
        <v>174.28466796875</v>
      </c>
      <c r="Y18" s="33" t="inlineStr">
        <is>
          <t>N</t>
        </is>
      </c>
      <c r="Z18" s="34" t="n"/>
      <c r="AA18" s="34" t="n"/>
      <c r="AB18" s="33" t="inlineStr">
        <is>
          <t>figures/opt-sgdm-lr0.1.png</t>
        </is>
      </c>
      <c r="AC18" s="33" t="inlineStr"/>
      <c r="AD18" s="35">
        <f>IF(P18="","",P18-LN(7))</f>
        <v>0.3231516409900588</v>
      </c>
      <c r="AE18" s="35">
        <f>IF(OR(T18="",S18=""),"",T18-S18)</f>
        <v>0.022348195340933408</v>
      </c>
      <c r="AF18" s="35">
        <f>IF(OR(V18="",Seeds!$C$8=""),"",V18-Seeds!$C$8)</f>
        <v>0.002145435595624745</v>
      </c>
      <c r="AG18" s="35" t="str">
        <f>IF(OR(AF18="",Seeds!$C$10=""),"",IF(ABS(AF18)&gt;Seeds!$C$10,"Có","Không"))</f>
        <v>Không</v>
      </c>
    </row>
    <row r="19" ht="15" customHeight="1" s="20">
      <c r="A19" s="33" t="inlineStr">
        <is>
          <t>opt-sgdm-lr0.3</t>
        </is>
      </c>
      <c r="B19" s="33" t="inlineStr">
        <is>
          <t>optimizer</t>
        </is>
      </c>
      <c r="C19" s="33" t="inlineStr">
        <is>
          <t>SGD+momentum 0.9, lr=0.3 (quét lr để chọn lr baseline)</t>
        </is>
      </c>
      <c r="D19" s="33" t="inlineStr">
        <is>
          <t>CE</t>
        </is>
      </c>
      <c r="E19" s="33" t="inlineStr">
        <is>
          <t>SGD+momentum</t>
        </is>
      </c>
      <c r="F19" s="33" t="n">
        <v>0.3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2.269061790045372</v>
      </c>
      <c r="Q19" s="34" t="n">
        <v>0.2269290298042685</v>
      </c>
      <c r="R19" s="33" t="n">
        <v>20</v>
      </c>
      <c r="S19" s="34" t="n">
        <v>0.2001980064964294</v>
      </c>
      <c r="T19" s="34" t="n">
        <v>0.2269290298042685</v>
      </c>
      <c r="U19" s="34" t="n">
        <v>0.9096189841010305</v>
      </c>
      <c r="V19" s="34" t="n">
        <v>0.8520514188157632</v>
      </c>
      <c r="W19" s="33" t="n">
        <v>1.541883912400004</v>
      </c>
      <c r="X19" s="33" t="n">
        <v>174.4677734375</v>
      </c>
      <c r="Y19" s="33" t="inlineStr">
        <is>
          <t>N</t>
        </is>
      </c>
      <c r="Z19" s="34" t="n"/>
      <c r="AA19" s="34" t="n"/>
      <c r="AB19" s="33" t="inlineStr">
        <is>
          <t>figures/opt-sgdm-lr0.3.png</t>
        </is>
      </c>
      <c r="AC19" s="33" t="inlineStr"/>
      <c r="AD19" s="35">
        <f>IF(P19="","",P19-LN(7))</f>
        <v>0.3231516409900588</v>
      </c>
      <c r="AE19" s="35">
        <f>IF(OR(T19="",S19=""),"",T19-S19)</f>
        <v>0.02673102330783908</v>
      </c>
      <c r="AF19" s="35">
        <f>IF(OR(V19="",Seeds!$C$8=""),"",V19-Seeds!$C$8)</f>
        <v>-0.004174696869614802</v>
      </c>
      <c r="AG19" s="35" t="str">
        <f>IF(OR(AF19="",Seeds!$C$10=""),"",IF(ABS(AF19)&gt;Seeds!$C$10,"Có","Không"))</f>
        <v>Có</v>
      </c>
    </row>
    <row r="20" ht="15" customHeight="1" s="20">
      <c r="A20" s="33" t="inlineStr">
        <is>
          <t>hp-batch128</t>
        </is>
      </c>
      <c r="B20" s="33" t="inlineStr">
        <is>
          <t>hparam</t>
        </is>
      </c>
      <c r="C20" s="33" t="inlineStr">
        <is>
          <t>batch 128 (lr giữ nguyên)</t>
        </is>
      </c>
      <c r="D20" s="33" t="inlineStr">
        <is>
          <t>CE</t>
        </is>
      </c>
      <c r="E20" s="33" t="inlineStr">
        <is>
          <t>SGD+momentum</t>
        </is>
      </c>
      <c r="F20" s="33" t="n">
        <v>0.1</v>
      </c>
      <c r="G20" s="33" t="n">
        <v>0</v>
      </c>
      <c r="H20" s="33" t="n">
        <v>128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2.269061790045372</v>
      </c>
      <c r="Q20" s="34" t="n">
        <v>0.2262833583208378</v>
      </c>
      <c r="R20" s="33" t="n">
        <v>18</v>
      </c>
      <c r="S20" s="34" t="n">
        <v>0.2027971514940262</v>
      </c>
      <c r="T20" s="34" t="n">
        <v>0.2292526878283655</v>
      </c>
      <c r="U20" s="34" t="n">
        <v>0.9115767733052215</v>
      </c>
      <c r="V20" s="34" t="n">
        <v>0.856256090661753</v>
      </c>
      <c r="W20" s="33" t="n">
        <v>5.17858964914995</v>
      </c>
      <c r="X20" s="33" t="n">
        <v>176.8173828125</v>
      </c>
      <c r="Y20" s="33" t="inlineStr">
        <is>
          <t>N</t>
        </is>
      </c>
      <c r="Z20" s="34" t="n"/>
      <c r="AA20" s="34" t="n"/>
      <c r="AB20" s="33" t="inlineStr">
        <is>
          <t>figures/hp-batch128.png</t>
        </is>
      </c>
      <c r="AC20" s="33" t="inlineStr"/>
      <c r="AD20" s="35">
        <f>IF(P20="","",P20-LN(7))</f>
        <v>0.3231516409900588</v>
      </c>
      <c r="AE20" s="35">
        <f>IF(OR(T20="",S20=""),"",T20-S20)</f>
        <v>0.026455536334339308</v>
      </c>
      <c r="AF20" s="35">
        <f>IF(OR(V20="",Seeds!$C$8=""),"",V20-Seeds!$C$8)</f>
        <v>2.9974976375024553e-05</v>
      </c>
      <c r="AG20" s="35" t="str">
        <f>IF(OR(AF20="",Seeds!$C$10=""),"",IF(ABS(AF20)&gt;Seeds!$C$10,"Có","Không"))</f>
        <v>Không</v>
      </c>
    </row>
    <row r="21" ht="15" customHeight="1" s="20">
      <c r="A21" s="33" t="inlineStr">
        <is>
          <t>hp-batch2048</t>
        </is>
      </c>
      <c r="B21" s="33" t="inlineStr">
        <is>
          <t>hparam</t>
        </is>
      </c>
      <c r="C21" s="33" t="inlineStr">
        <is>
          <t>batch 2048 (lr giữ nguyên)</t>
        </is>
      </c>
      <c r="D21" s="33" t="inlineStr">
        <is>
          <t>CE</t>
        </is>
      </c>
      <c r="E21" s="33" t="inlineStr">
        <is>
          <t>SGD+momentum</t>
        </is>
      </c>
      <c r="F21" s="33" t="n">
        <v>0.1</v>
      </c>
      <c r="G21" s="33" t="n">
        <v>0</v>
      </c>
      <c r="H21" s="33" t="n">
        <v>2048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2.269061790045372</v>
      </c>
      <c r="Q21" s="34" t="n">
        <v>0.2892347695851541</v>
      </c>
      <c r="R21" s="33" t="n">
        <v>18</v>
      </c>
      <c r="S21" s="34" t="n">
        <v>0.2771164038467407</v>
      </c>
      <c r="T21" s="34" t="n">
        <v>0.2929729075768926</v>
      </c>
      <c r="U21" s="34" t="n">
        <v>0.8830382306748994</v>
      </c>
      <c r="V21" s="34" t="n">
        <v>0.8090019165202146</v>
      </c>
      <c r="W21" s="33" t="n">
        <v>0.3268040144999872</v>
      </c>
      <c r="X21" s="33" t="n">
        <v>177.27734375</v>
      </c>
      <c r="Y21" s="33" t="inlineStr">
        <is>
          <t>N</t>
        </is>
      </c>
      <c r="Z21" s="34" t="n"/>
      <c r="AA21" s="34" t="n"/>
      <c r="AB21" s="33" t="inlineStr">
        <is>
          <t>figures/hp-batch2048.png</t>
        </is>
      </c>
      <c r="AC21" s="33" t="inlineStr"/>
      <c r="AD21" s="35">
        <f>IF(P21="","",P21-LN(7))</f>
        <v>0.3231516409900588</v>
      </c>
      <c r="AE21" s="35">
        <f>IF(OR(T21="",S21=""),"",T21-S21)</f>
        <v>0.015856503730151905</v>
      </c>
      <c r="AF21" s="35">
        <f>IF(OR(V21="",Seeds!$C$8=""),"",V21-Seeds!$C$8)</f>
        <v>-0.047224199165163405</v>
      </c>
      <c r="AG21" s="35" t="str">
        <f>IF(OR(AF21="",Seeds!$C$10=""),"",IF(ABS(AF21)&gt;Seeds!$C$10,"Có","Không"))</f>
        <v>Có</v>
      </c>
    </row>
    <row r="22" ht="15" customHeight="1" s="20">
      <c r="A22" s="33" t="inlineStr">
        <is>
          <t>hp-batch2048-lrx4</t>
        </is>
      </c>
      <c r="B22" s="33" t="inlineStr">
        <is>
          <t>hparam</t>
        </is>
      </c>
      <c r="C22" s="33" t="inlineStr">
        <is>
          <t>batch 2048, lr ×4 (quy tắc tăng lr theo lô) + khởi động tuyến tính 1 epoch</t>
        </is>
      </c>
      <c r="D22" s="33" t="inlineStr">
        <is>
          <t>CE</t>
        </is>
      </c>
      <c r="E22" s="33" t="inlineStr">
        <is>
          <t>SGD+momentum</t>
        </is>
      </c>
      <c r="F22" s="33" t="n">
        <v>0.4</v>
      </c>
      <c r="G22" s="33" t="n">
        <v>0</v>
      </c>
      <c r="H22" s="33" t="n">
        <v>2048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2.269061790045372</v>
      </c>
      <c r="Q22" s="34" t="n">
        <v>0.2331942359497639</v>
      </c>
      <c r="R22" s="33" t="n">
        <v>20</v>
      </c>
      <c r="S22" s="34" t="n">
        <v>0.2105692469263077</v>
      </c>
      <c r="T22" s="34" t="n">
        <v>0.2331942359497639</v>
      </c>
      <c r="U22" s="34" t="n">
        <v>0.905606591940793</v>
      </c>
      <c r="V22" s="34" t="n">
        <v>0.8535854335470592</v>
      </c>
      <c r="W22" s="33" t="n">
        <v>0.3643333461000225</v>
      </c>
      <c r="X22" s="33" t="n">
        <v>177.46044921875</v>
      </c>
      <c r="Y22" s="33" t="inlineStr">
        <is>
          <t>N</t>
        </is>
      </c>
      <c r="Z22" s="34" t="n"/>
      <c r="AA22" s="34" t="n"/>
      <c r="AB22" s="33" t="inlineStr">
        <is>
          <t>figures/hp-batch2048-lrx4.png</t>
        </is>
      </c>
      <c r="AC22" s="33" t="inlineStr">
        <is>
          <t>đổi có chủ đích batch ×4 và lr ×4, kèm warmup 1 epoch; scheduler=warmup, warmup 182 bước</t>
        </is>
      </c>
      <c r="AD22" s="35">
        <f>IF(P22="","",P22-LN(7))</f>
        <v>0.3231516409900588</v>
      </c>
      <c r="AE22" s="35">
        <f>IF(OR(T22="",S22=""),"",T22-S22)</f>
        <v>0.022624989023456193</v>
      </c>
      <c r="AF22" s="35">
        <f>IF(OR(V22="",Seeds!$C$8=""),"",V22-Seeds!$C$8)</f>
        <v>-0.002640682138318806</v>
      </c>
      <c r="AG22" s="35" t="str">
        <f>IF(OR(AF22="",Seeds!$C$10=""),"",IF(ABS(AF22)&gt;Seeds!$C$10,"Có","Không"))</f>
        <v>Không</v>
      </c>
    </row>
    <row r="23" ht="15" customHeight="1" s="20">
      <c r="A23" s="33" t="inlineStr">
        <is>
          <t>hp-deep</t>
        </is>
      </c>
      <c r="B23" s="33" t="inlineStr">
        <is>
          <t>hparam</t>
        </is>
      </c>
      <c r="C23" s="33" t="inlineStr">
        <is>
          <t>M-deep 54-256-128-64-7 (55 687 tham số)</t>
        </is>
      </c>
      <c r="D23" s="33" t="inlineStr">
        <is>
          <t>CE</t>
        </is>
      </c>
      <c r="E23" s="33" t="inlineStr">
        <is>
          <t>SGD+momentum</t>
        </is>
      </c>
      <c r="F23" s="33" t="n">
        <v>0.1</v>
      </c>
      <c r="G23" s="33" t="n">
        <v>0</v>
      </c>
      <c r="H23" s="33" t="n">
        <v>512</v>
      </c>
      <c r="I23" s="33" t="n">
        <v>20</v>
      </c>
      <c r="J23" s="33" t="inlineStr">
        <is>
          <t>256-128-64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1.909942441385083</v>
      </c>
      <c r="Q23" s="34" t="n">
        <v>0.1963649674849642</v>
      </c>
      <c r="R23" s="33" t="n">
        <v>20</v>
      </c>
      <c r="S23" s="34" t="n">
        <v>0.1680297797203064</v>
      </c>
      <c r="T23" s="34" t="n">
        <v>0.1963649674849642</v>
      </c>
      <c r="U23" s="34" t="n">
        <v>0.9222155289257976</v>
      </c>
      <c r="V23" s="34" t="n">
        <v>0.8719380972339469</v>
      </c>
      <c r="W23" s="33" t="n">
        <v>1.470396269650018</v>
      </c>
      <c r="X23" s="33" t="n">
        <v>178.13427734375</v>
      </c>
      <c r="Y23" s="33" t="inlineStr">
        <is>
          <t>N</t>
        </is>
      </c>
      <c r="Z23" s="34" t="n"/>
      <c r="AA23" s="34" t="n"/>
      <c r="AB23" s="33" t="inlineStr">
        <is>
          <t>figures/hp-deep.png</t>
        </is>
      </c>
      <c r="AC23" s="33" t="inlineStr"/>
      <c r="AD23" s="35">
        <f>IF(P23="","",P23-LN(7))</f>
        <v>-0.035967707670230276</v>
      </c>
      <c r="AE23" s="35">
        <f>IF(OR(T23="",S23=""),"",T23-S23)</f>
        <v>0.02833518776465782</v>
      </c>
      <c r="AF23" s="35">
        <f>IF(OR(V23="",Seeds!$C$8=""),"",V23-Seeds!$C$8)</f>
        <v>0.0157119815485689</v>
      </c>
      <c r="AG23" s="35" t="str">
        <f>IF(OR(AF23="",Seeds!$C$10=""),"",IF(ABS(AF23)&gt;Seeds!$C$10,"Có","Không"))</f>
        <v>Có</v>
      </c>
    </row>
    <row r="24" ht="15" customHeight="1" s="20">
      <c r="A24" s="33" t="inlineStr">
        <is>
          <t>hp-wide</t>
        </is>
      </c>
      <c r="B24" s="33" t="inlineStr">
        <is>
          <t>hparam</t>
        </is>
      </c>
      <c r="C24" s="33" t="inlineStr">
        <is>
          <t>M-wide 54-512-256-7 (161 287 tham số)</t>
        </is>
      </c>
      <c r="D24" s="33" t="inlineStr">
        <is>
          <t>CE</t>
        </is>
      </c>
      <c r="E24" s="33" t="inlineStr">
        <is>
          <t>SGD+momentum</t>
        </is>
      </c>
      <c r="F24" s="33" t="n">
        <v>0.1</v>
      </c>
      <c r="G24" s="33" t="n">
        <v>0</v>
      </c>
      <c r="H24" s="33" t="n">
        <v>512</v>
      </c>
      <c r="I24" s="33" t="n">
        <v>20</v>
      </c>
      <c r="J24" s="33" t="inlineStr">
        <is>
          <t>512-256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1.918216562458853</v>
      </c>
      <c r="Q24" s="34" t="n">
        <v>0.2020987134622149</v>
      </c>
      <c r="R24" s="33" t="n">
        <v>19</v>
      </c>
      <c r="S24" s="34" t="n">
        <v>0.1757756855487823</v>
      </c>
      <c r="T24" s="34" t="n">
        <v>0.2043387945749831</v>
      </c>
      <c r="U24" s="34" t="n">
        <v>0.9208708934833588</v>
      </c>
      <c r="V24" s="34" t="n">
        <v>0.8724522967201161</v>
      </c>
      <c r="W24" s="33" t="n">
        <v>1.334938699100019</v>
      </c>
      <c r="X24" s="33" t="n">
        <v>195.1279296875</v>
      </c>
      <c r="Y24" s="33" t="inlineStr">
        <is>
          <t>N</t>
        </is>
      </c>
      <c r="Z24" s="34" t="n"/>
      <c r="AA24" s="34" t="n"/>
      <c r="AB24" s="33" t="inlineStr">
        <is>
          <t>figures/hp-wide.png</t>
        </is>
      </c>
      <c r="AC24" s="33" t="inlineStr"/>
      <c r="AD24" s="35">
        <f>IF(P24="","",P24-LN(7))</f>
        <v>-0.027693586596460262</v>
      </c>
      <c r="AE24" s="35">
        <f>IF(OR(T24="",S24=""),"",T24-S24)</f>
        <v>0.028563109026200795</v>
      </c>
      <c r="AF24" s="35">
        <f>IF(OR(V24="",Seeds!$C$8=""),"",V24-Seeds!$C$8)</f>
        <v>0.016226181034738163</v>
      </c>
      <c r="AG24" s="35" t="str">
        <f>IF(OR(AF24="",Seeds!$C$10=""),"",IF(ABS(AF24)&gt;Seeds!$C$10,"Có","Không"))</f>
        <v>Có</v>
      </c>
    </row>
    <row r="25" ht="15" customHeight="1" s="20">
      <c r="A25" s="33" t="inlineStr">
        <is>
          <t>drop-0.1</t>
        </is>
      </c>
      <c r="B25" s="33" t="inlineStr">
        <is>
          <t>dropout</t>
        </is>
      </c>
      <c r="C25" s="33" t="inlineStr">
        <is>
          <t>dropout q=0.1 sau mỗi ReLU ẩn</t>
        </is>
      </c>
      <c r="D25" s="33" t="inlineStr">
        <is>
          <t>CE</t>
        </is>
      </c>
      <c r="E25" s="33" t="inlineStr">
        <is>
          <t>SGD+momentum</t>
        </is>
      </c>
      <c r="F25" s="33" t="n">
        <v>0.1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0.1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2.269061790045372</v>
      </c>
      <c r="Q25" s="34" t="n">
        <v>0.2506953041509795</v>
      </c>
      <c r="R25" s="33" t="n">
        <v>19</v>
      </c>
      <c r="S25" s="34" t="n">
        <v>0.2408791461229324</v>
      </c>
      <c r="T25" s="34" t="n">
        <v>0.2521429879980421</v>
      </c>
      <c r="U25" s="34" t="n">
        <v>0.8972913663647512</v>
      </c>
      <c r="V25" s="34" t="n">
        <v>0.8368335608020018</v>
      </c>
      <c r="W25" s="33" t="n">
        <v>1.432245940999997</v>
      </c>
      <c r="X25" s="33" t="n">
        <v>178.2265625</v>
      </c>
      <c r="Y25" s="33" t="inlineStr">
        <is>
          <t>N</t>
        </is>
      </c>
      <c r="Z25" s="34" t="n"/>
      <c r="AA25" s="34" t="n"/>
      <c r="AB25" s="33" t="inlineStr">
        <is>
          <t>figures/drop-0.1.png</t>
        </is>
      </c>
      <c r="AC25" s="33" t="inlineStr"/>
      <c r="AD25" s="35">
        <f>IF(P25="","",P25-LN(7))</f>
        <v>0.3231516409900588</v>
      </c>
      <c r="AE25" s="35">
        <f>IF(OR(T25="",S25=""),"",T25-S25)</f>
        <v>0.011263841875109676</v>
      </c>
      <c r="AF25" s="35">
        <f>IF(OR(V25="",Seeds!$C$8=""),"",V25-Seeds!$C$8)</f>
        <v>-0.019392554883376212</v>
      </c>
      <c r="AG25" s="35" t="str">
        <f>IF(OR(AF25="",Seeds!$C$10=""),"",IF(ABS(AF25)&gt;Seeds!$C$10,"Có","Không"))</f>
        <v>Có</v>
      </c>
    </row>
    <row r="26" ht="15" customHeight="1" s="20">
      <c r="A26" s="33" t="inlineStr">
        <is>
          <t>drop-0.3</t>
        </is>
      </c>
      <c r="B26" s="33" t="inlineStr">
        <is>
          <t>dropout</t>
        </is>
      </c>
      <c r="C26" s="33" t="inlineStr">
        <is>
          <t>dropout q=0.3 sau mỗi ReLU ẩn</t>
        </is>
      </c>
      <c r="D26" s="33" t="inlineStr">
        <is>
          <t>CE</t>
        </is>
      </c>
      <c r="E26" s="33" t="inlineStr">
        <is>
          <t>SGD+momentum</t>
        </is>
      </c>
      <c r="F26" s="33" t="n">
        <v>0.1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0.3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2.269061790045372</v>
      </c>
      <c r="Q26" s="34" t="n">
        <v>0.3214053429690591</v>
      </c>
      <c r="R26" s="33" t="n">
        <v>18</v>
      </c>
      <c r="S26" s="34" t="n">
        <v>0.3212896043491363</v>
      </c>
      <c r="T26" s="34" t="n">
        <v>0.3259052703857668</v>
      </c>
      <c r="U26" s="34" t="n">
        <v>0.8690325079064564</v>
      </c>
      <c r="V26" s="34" t="n">
        <v>0.7768760739888683</v>
      </c>
      <c r="W26" s="33" t="n">
        <v>1.417402848050006</v>
      </c>
      <c r="X26" s="33" t="n">
        <v>178.40966796875</v>
      </c>
      <c r="Y26" s="33" t="inlineStr">
        <is>
          <t>N</t>
        </is>
      </c>
      <c r="Z26" s="34" t="n"/>
      <c r="AA26" s="34" t="n"/>
      <c r="AB26" s="33" t="inlineStr">
        <is>
          <t>figures/drop-0.3.png</t>
        </is>
      </c>
      <c r="AC26" s="33" t="inlineStr"/>
      <c r="AD26" s="35">
        <f>IF(P26="","",P26-LN(7))</f>
        <v>0.3231516409900588</v>
      </c>
      <c r="AE26" s="35">
        <f>IF(OR(T26="",S26=""),"",T26-S26)</f>
        <v>0.004615666036630495</v>
      </c>
      <c r="AF26" s="35">
        <f>IF(OR(V26="",Seeds!$C$8=""),"",V26-Seeds!$C$8)</f>
        <v>-0.07935004169650972</v>
      </c>
      <c r="AG26" s="35" t="str">
        <f>IF(OR(AF26="",Seeds!$C$10=""),"",IF(ABS(AF26)&gt;Seeds!$C$10,"Có","Không"))</f>
        <v>Có</v>
      </c>
    </row>
    <row r="27" ht="15" customHeight="1" s="20">
      <c r="A27" s="33" t="inlineStr">
        <is>
          <t>drop-0.5</t>
        </is>
      </c>
      <c r="B27" s="33" t="inlineStr">
        <is>
          <t>dropout</t>
        </is>
      </c>
      <c r="C27" s="33" t="inlineStr">
        <is>
          <t>dropout q=0.5 sau mỗi ReLU ẩn</t>
        </is>
      </c>
      <c r="D27" s="33" t="inlineStr">
        <is>
          <t>CE</t>
        </is>
      </c>
      <c r="E27" s="33" t="inlineStr">
        <is>
          <t>SGD+momentum</t>
        </is>
      </c>
      <c r="F27" s="33" t="n">
        <v>0.1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0.5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2.269061790045372</v>
      </c>
      <c r="Q27" s="34" t="n">
        <v>0.4048097931299503</v>
      </c>
      <c r="R27" s="33" t="n">
        <v>18</v>
      </c>
      <c r="S27" s="34" t="n">
        <v>0.4041706175231933</v>
      </c>
      <c r="T27" s="34" t="n">
        <v>0.4079953051791108</v>
      </c>
      <c r="U27" s="34" t="n">
        <v>0.8278328779501302</v>
      </c>
      <c r="V27" s="34" t="n">
        <v>0.6629585737474877</v>
      </c>
      <c r="W27" s="33" t="n">
        <v>1.450444684949991</v>
      </c>
      <c r="X27" s="33" t="n">
        <v>178.5927734375</v>
      </c>
      <c r="Y27" s="33" t="inlineStr">
        <is>
          <t>N</t>
        </is>
      </c>
      <c r="Z27" s="34" t="n"/>
      <c r="AA27" s="34" t="n"/>
      <c r="AB27" s="33" t="inlineStr">
        <is>
          <t>figures/drop-0.5.png</t>
        </is>
      </c>
      <c r="AC27" s="33" t="inlineStr"/>
      <c r="AD27" s="35">
        <f>IF(P27="","",P27-LN(7))</f>
        <v>0.3231516409900588</v>
      </c>
      <c r="AE27" s="35">
        <f>IF(OR(T27="",S27=""),"",T27-S27)</f>
        <v>0.003824687655917536</v>
      </c>
      <c r="AF27" s="35">
        <f>IF(OR(V27="",Seeds!$C$8=""),"",V27-Seeds!$C$8)</f>
        <v>-0.1932675419378903</v>
      </c>
      <c r="AG27" s="35" t="str">
        <f>IF(OR(AF27="",Seeds!$C$10=""),"",IF(ABS(AF27)&gt;Seeds!$C$10,"Có","Không"))</f>
        <v>Có</v>
      </c>
    </row>
    <row r="28" ht="15" customHeight="1" s="20">
      <c r="A28" s="33" t="inlineStr">
        <is>
          <t>clip-0.56</t>
        </is>
      </c>
      <c r="B28" s="33" t="inlineStr">
        <is>
          <t>clipping</t>
        </is>
      </c>
      <c r="C28" s="33" t="inlineStr">
        <is>
          <t>clip_norm c=0.56 (≈ trung vị grad_norm của baseline), lr baseline</t>
        </is>
      </c>
      <c r="D28" s="33" t="inlineStr">
        <is>
          <t>CE</t>
        </is>
      </c>
      <c r="E28" s="33" t="inlineStr">
        <is>
          <t>SGD+momentum</t>
        </is>
      </c>
      <c r="F28" s="33" t="n">
        <v>0.1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n">
        <v>0.5600000000000001</v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2.269061790045372</v>
      </c>
      <c r="Q28" s="34" t="n">
        <v>0.2303266632020511</v>
      </c>
      <c r="R28" s="33" t="n">
        <v>18</v>
      </c>
      <c r="S28" s="34" t="n">
        <v>0.2170121672725678</v>
      </c>
      <c r="T28" s="34" t="n">
        <v>0.2380665950045134</v>
      </c>
      <c r="U28" s="34" t="n">
        <v>0.9088552311697252</v>
      </c>
      <c r="V28" s="34" t="n">
        <v>0.8547838329073392</v>
      </c>
      <c r="W28" s="33" t="n">
        <v>1.319883876249992</v>
      </c>
      <c r="X28" s="33" t="n">
        <v>178.77587890625</v>
      </c>
      <c r="Y28" s="33" t="inlineStr">
        <is>
          <t>N</t>
        </is>
      </c>
      <c r="Z28" s="34" t="n"/>
      <c r="AA28" s="34" t="n"/>
      <c r="AB28" s="33" t="inlineStr">
        <is>
          <t>figures/clip-0.56.png</t>
        </is>
      </c>
      <c r="AC28" s="33" t="inlineStr"/>
      <c r="AD28" s="35">
        <f>IF(P28="","",P28-LN(7))</f>
        <v>0.3231516409900588</v>
      </c>
      <c r="AE28" s="35">
        <f>IF(OR(T28="",S28=""),"",T28-S28)</f>
        <v>0.021054427731945602</v>
      </c>
      <c r="AF28" s="35">
        <f>IF(OR(V28="",Seeds!$C$8=""),"",V28-Seeds!$C$8)</f>
        <v>-0.001442282778038817</v>
      </c>
      <c r="AG28" s="35" t="str">
        <f>IF(OR(AF28="",Seeds!$C$10=""),"",IF(ABS(AF28)&gt;Seeds!$C$10,"Có","Không"))</f>
        <v>Không</v>
      </c>
    </row>
    <row r="29" ht="15" customHeight="1" s="20">
      <c r="A29" s="33" t="inlineStr">
        <is>
          <t>clip-0.56-lr1</t>
        </is>
      </c>
      <c r="B29" s="33" t="inlineStr">
        <is>
          <t>clipping</t>
        </is>
      </c>
      <c r="C29" s="33" t="inlineStr">
        <is>
          <t>lr ×10 = 1, CÓ clip c=0.56</t>
        </is>
      </c>
      <c r="D29" s="33" t="inlineStr">
        <is>
          <t>CE</t>
        </is>
      </c>
      <c r="E29" s="33" t="inlineStr">
        <is>
          <t>SGD+momentum</t>
        </is>
      </c>
      <c r="F29" s="33" t="n">
        <v>1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n">
        <v>0.5600000000000001</v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2.269061790045372</v>
      </c>
      <c r="Q29" s="34" t="n">
        <v>0.3198844128486912</v>
      </c>
      <c r="R29" s="33" t="n">
        <v>15</v>
      </c>
      <c r="S29" s="34" t="n">
        <v>0.3527763354682922</v>
      </c>
      <c r="T29" s="34" t="n">
        <v>0.3680978881214062</v>
      </c>
      <c r="U29" s="34" t="n">
        <v>0.8794776360233214</v>
      </c>
      <c r="V29" s="34" t="n">
        <v>0.8074599469467793</v>
      </c>
      <c r="W29" s="33" t="n">
        <v>1.293212122550006</v>
      </c>
      <c r="X29" s="33" t="n">
        <v>179.14208984375</v>
      </c>
      <c r="Y29" s="33" t="inlineStr">
        <is>
          <t>N</t>
        </is>
      </c>
      <c r="Z29" s="34" t="n"/>
      <c r="AA29" s="34" t="n"/>
      <c r="AB29" s="33" t="inlineStr">
        <is>
          <t>figures/clip-0.56-lr1.png</t>
        </is>
      </c>
      <c r="AC29" s="33" t="inlineStr"/>
      <c r="AD29" s="35">
        <f>IF(P29="","",P29-LN(7))</f>
        <v>0.3231516409900588</v>
      </c>
      <c r="AE29" s="35">
        <f>IF(OR(T29="",S29=""),"",T29-S29)</f>
        <v>0.015321552653114023</v>
      </c>
      <c r="AF29" s="35">
        <f>IF(OR(V29="",Seeds!$C$8=""),"",V29-Seeds!$C$8)</f>
        <v>-0.048766168738598736</v>
      </c>
      <c r="AG29" s="35" t="str">
        <f>IF(OR(AF29="",Seeds!$C$10=""),"",IF(ABS(AF29)&gt;Seeds!$C$10,"Có","Không"))</f>
        <v>Có</v>
      </c>
    </row>
    <row r="30" ht="15" customHeight="1" s="20">
      <c r="A30" s="33" t="inlineStr">
        <is>
          <t>clip-none-lr1</t>
        </is>
      </c>
      <c r="B30" s="33" t="inlineStr">
        <is>
          <t>clipping</t>
        </is>
      </c>
      <c r="C30" s="33" t="inlineStr">
        <is>
          <t>lr ×10 = 1, KHÔNG clip (tìm lr gây mất ổn định)</t>
        </is>
      </c>
      <c r="D30" s="33" t="inlineStr">
        <is>
          <t>CE</t>
        </is>
      </c>
      <c r="E30" s="33" t="inlineStr">
        <is>
          <t>SGD+momentum</t>
        </is>
      </c>
      <c r="F30" s="33" t="n">
        <v>1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2.269061790045372</v>
      </c>
      <c r="Q30" s="34" t="n">
        <v>0.3581985227411169</v>
      </c>
      <c r="R30" s="33" t="n">
        <v>15</v>
      </c>
      <c r="S30" s="34" t="n">
        <v>0.3953893117237091</v>
      </c>
      <c r="T30" s="34" t="n">
        <v>0.4107854660235036</v>
      </c>
      <c r="U30" s="34" t="n">
        <v>0.8578128697747467</v>
      </c>
      <c r="V30" s="34" t="n">
        <v>0.7669600765882739</v>
      </c>
      <c r="W30" s="33" t="n">
        <v>1.340665329699994</v>
      </c>
      <c r="X30" s="33" t="n">
        <v>178.958984375</v>
      </c>
      <c r="Y30" s="33" t="inlineStr">
        <is>
          <t>N</t>
        </is>
      </c>
      <c r="Z30" s="34" t="n"/>
      <c r="AA30" s="34" t="n"/>
      <c r="AB30" s="33" t="inlineStr">
        <is>
          <t>figures/clip-none-lr1.png</t>
        </is>
      </c>
      <c r="AC30" s="33" t="inlineStr"/>
      <c r="AD30" s="35">
        <f>IF(P30="","",P30-LN(7))</f>
        <v>0.3231516409900588</v>
      </c>
      <c r="AE30" s="35">
        <f>IF(OR(T30="",S30=""),"",T30-S30)</f>
        <v>0.015396154299794462</v>
      </c>
      <c r="AF30" s="35">
        <f>IF(OR(V30="",Seeds!$C$8=""),"",V30-Seeds!$C$8)</f>
        <v>-0.08926603909710407</v>
      </c>
      <c r="AG30" s="35" t="str">
        <f>IF(OR(AF30="",Seeds!$C$10=""),"",IF(ABS(AF30)&gt;Seeds!$C$10,"Có","Không"))</f>
        <v>Có</v>
      </c>
    </row>
    <row r="31" ht="15" customHeight="1" s="20">
      <c r="A31" s="33" t="inlineStr">
        <is>
          <t>amp-bf16</t>
        </is>
      </c>
      <c r="B31" s="33" t="inlineStr">
        <is>
          <t>amp</t>
        </is>
      </c>
      <c r="C31" s="33" t="inlineStr">
        <is>
          <t>mixed precision bf16 (autocast)</t>
        </is>
      </c>
      <c r="D31" s="33" t="inlineStr">
        <is>
          <t>CE</t>
        </is>
      </c>
      <c r="E31" s="33" t="inlineStr">
        <is>
          <t>SGD+momentum</t>
        </is>
      </c>
      <c r="F31" s="33" t="n">
        <v>0.1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bf16</t>
        </is>
      </c>
      <c r="N31" s="33" t="inlineStr">
        <is>
          <t>he</t>
        </is>
      </c>
      <c r="O31" s="33" t="n">
        <v>1</v>
      </c>
      <c r="P31" s="34" t="n">
        <v>2.269061790045372</v>
      </c>
      <c r="Q31" s="34" t="n">
        <v>0.2310527037022967</v>
      </c>
      <c r="R31" s="33" t="n">
        <v>20</v>
      </c>
      <c r="S31" s="34" t="n">
        <v>0.2107170326852799</v>
      </c>
      <c r="T31" s="34" t="n">
        <v>0.2310527037022967</v>
      </c>
      <c r="U31" s="34" t="n">
        <v>0.9085002474129215</v>
      </c>
      <c r="V31" s="34" t="n">
        <v>0.8547247844345146</v>
      </c>
      <c r="W31" s="33" t="n">
        <v>1.533142540650022</v>
      </c>
      <c r="X31" s="33" t="n">
        <v>179.50634765625</v>
      </c>
      <c r="Y31" s="33" t="inlineStr">
        <is>
          <t>N</t>
        </is>
      </c>
      <c r="Z31" s="34" t="n"/>
      <c r="AA31" s="34" t="n"/>
      <c r="AB31" s="33" t="inlineStr">
        <is>
          <t>figures/amp-bf16.png</t>
        </is>
      </c>
      <c r="AC31" s="33" t="inlineStr">
        <is>
          <t>autocast bf16, không GradScaler; GPU không có phần cứng BF16 (T4 = sm75) nên chạy bằng giả lập, không đại diện tốc độ BF16</t>
        </is>
      </c>
      <c r="AD31" s="35">
        <f>IF(P31="","",P31-LN(7))</f>
        <v>0.3231516409900588</v>
      </c>
      <c r="AE31" s="35">
        <f>IF(OR(T31="",S31=""),"",T31-S31)</f>
        <v>0.020335671017016804</v>
      </c>
      <c r="AF31" s="35">
        <f>IF(OR(V31="",Seeds!$C$8=""),"",V31-Seeds!$C$8)</f>
        <v>-0.0015013312508633803</v>
      </c>
      <c r="AG31" s="35" t="str">
        <f>IF(OR(AF31="",Seeds!$C$10=""),"",IF(ABS(AF31)&gt;Seeds!$C$10,"Có","Không"))</f>
        <v>Không</v>
      </c>
    </row>
    <row r="32" ht="15" customHeight="1" s="20">
      <c r="A32" s="33" t="inlineStr">
        <is>
          <t>amp-fp16</t>
        </is>
      </c>
      <c r="B32" s="33" t="inlineStr">
        <is>
          <t>amp</t>
        </is>
      </c>
      <c r="C32" s="33" t="inlineStr">
        <is>
          <t>mixed precision fp16 (autocast)</t>
        </is>
      </c>
      <c r="D32" s="33" t="inlineStr">
        <is>
          <t>CE</t>
        </is>
      </c>
      <c r="E32" s="33" t="inlineStr">
        <is>
          <t>SGD+momentum</t>
        </is>
      </c>
      <c r="F32" s="33" t="n">
        <v>0.1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fp16</t>
        </is>
      </c>
      <c r="N32" s="33" t="inlineStr">
        <is>
          <t>he</t>
        </is>
      </c>
      <c r="O32" s="33" t="n">
        <v>1</v>
      </c>
      <c r="P32" s="34" t="n">
        <v>2.269061790045372</v>
      </c>
      <c r="Q32" s="34" t="n">
        <v>0.2330783442185664</v>
      </c>
      <c r="R32" s="33" t="n">
        <v>20</v>
      </c>
      <c r="S32" s="34" t="n">
        <v>0.2118166370868683</v>
      </c>
      <c r="T32" s="34" t="n">
        <v>0.2330783442185664</v>
      </c>
      <c r="U32" s="34" t="n">
        <v>0.908597061164777</v>
      </c>
      <c r="V32" s="34" t="n">
        <v>0.8548899100991895</v>
      </c>
      <c r="W32" s="33" t="n">
        <v>1.803990743049985</v>
      </c>
      <c r="X32" s="33" t="n">
        <v>179.32421875</v>
      </c>
      <c r="Y32" s="33" t="inlineStr">
        <is>
          <t>N</t>
        </is>
      </c>
      <c r="Z32" s="34" t="n"/>
      <c r="AA32" s="34" t="n"/>
      <c r="AB32" s="33" t="inlineStr">
        <is>
          <t>figures/amp-fp16.png</t>
        </is>
      </c>
      <c r="AC32" s="33" t="inlineStr">
        <is>
          <t>autocast fp16 + GradScaler; unscale_ mọi bước trước khi đo grad_norm</t>
        </is>
      </c>
      <c r="AD32" s="35">
        <f>IF(P32="","",P32-LN(7))</f>
        <v>0.3231516409900588</v>
      </c>
      <c r="AE32" s="35">
        <f>IF(OR(T32="",S32=""),"",T32-S32)</f>
        <v>0.021261707131698115</v>
      </c>
      <c r="AF32" s="35">
        <f>IF(OR(V32="",Seeds!$C$8=""),"",V32-Seeds!$C$8)</f>
        <v>-0.0013362055861885214</v>
      </c>
      <c r="AG32" s="35" t="str">
        <f>IF(OR(AF32="",Seeds!$C$10=""),"",IF(ABS(AF32)&gt;Seeds!$C$10,"Có","Không"))</f>
        <v>Không</v>
      </c>
    </row>
    <row r="33" ht="15" customHeight="1" s="20">
      <c r="A33" s="33" t="inlineStr">
        <is>
          <t>init-normal</t>
        </is>
      </c>
      <c r="B33" s="33" t="inlineStr">
        <is>
          <t>init</t>
        </is>
      </c>
      <c r="C33" s="33" t="inlineStr">
        <is>
          <t>khởi tạo normal thay cho He (bias = 0)</t>
        </is>
      </c>
      <c r="D33" s="33" t="inlineStr">
        <is>
          <t>CE</t>
        </is>
      </c>
      <c r="E33" s="33" t="inlineStr">
        <is>
          <t>SGD+momentum</t>
        </is>
      </c>
      <c r="F33" s="33" t="n">
        <v>0.1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normal</t>
        </is>
      </c>
      <c r="O33" s="33" t="n">
        <v>1</v>
      </c>
      <c r="P33" s="34" t="n">
        <v>1.945995657418507</v>
      </c>
      <c r="Q33" s="34" t="n">
        <v>0.239987134312817</v>
      </c>
      <c r="R33" s="33" t="n">
        <v>19</v>
      </c>
      <c r="S33" s="34" t="n">
        <v>0.2415016034841538</v>
      </c>
      <c r="T33" s="34" t="n">
        <v>0.2580431417932004</v>
      </c>
      <c r="U33" s="34" t="n">
        <v>0.9027559648028226</v>
      </c>
      <c r="V33" s="34" t="n">
        <v>0.8485232616401474</v>
      </c>
      <c r="W33" s="33" t="n">
        <v>1.322774586899971</v>
      </c>
      <c r="X33" s="33" t="n">
        <v>180.0576171875</v>
      </c>
      <c r="Y33" s="33" t="inlineStr">
        <is>
          <t>N</t>
        </is>
      </c>
      <c r="Z33" s="34" t="n"/>
      <c r="AA33" s="34" t="n"/>
      <c r="AB33" s="33" t="inlineStr">
        <is>
          <t>figures/init-normal.png</t>
        </is>
      </c>
      <c r="AC33" s="33" t="inlineStr"/>
      <c r="AD33" s="35">
        <f>IF(P33="","",P33-LN(7))</f>
        <v>8.550836319387578e-05</v>
      </c>
      <c r="AE33" s="35">
        <f>IF(OR(T33="",S33=""),"",T33-S33)</f>
        <v>0.016541538309046616</v>
      </c>
      <c r="AF33" s="35">
        <f>IF(OR(V33="",Seeds!$C$8=""),"",V33-Seeds!$C$8)</f>
        <v>-0.007702854045230634</v>
      </c>
      <c r="AG33" s="35" t="str">
        <f>IF(OR(AF33="",Seeds!$C$10=""),"",IF(ABS(AF33)&gt;Seeds!$C$10,"Có","Không"))</f>
        <v>Có</v>
      </c>
    </row>
    <row r="34" ht="15" customHeight="1" s="20">
      <c r="A34" s="33" t="inlineStr">
        <is>
          <t>init-xavier</t>
        </is>
      </c>
      <c r="B34" s="33" t="inlineStr">
        <is>
          <t>init</t>
        </is>
      </c>
      <c r="C34" s="33" t="inlineStr">
        <is>
          <t>khởi tạo xavier thay cho He (bias = 0)</t>
        </is>
      </c>
      <c r="D34" s="33" t="inlineStr">
        <is>
          <t>CE</t>
        </is>
      </c>
      <c r="E34" s="33" t="inlineStr">
        <is>
          <t>SGD+momentum</t>
        </is>
      </c>
      <c r="F34" s="33" t="n">
        <v>0.1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xavier</t>
        </is>
      </c>
      <c r="O34" s="33" t="n">
        <v>1</v>
      </c>
      <c r="P34" s="34" t="n">
        <v>2.022176186965225</v>
      </c>
      <c r="Q34" s="34" t="n">
        <v>0.2300258842055557</v>
      </c>
      <c r="R34" s="33" t="n">
        <v>18</v>
      </c>
      <c r="S34" s="34" t="n">
        <v>0.2138398951196671</v>
      </c>
      <c r="T34" s="34" t="n">
        <v>0.2344901394628365</v>
      </c>
      <c r="U34" s="34" t="n">
        <v>0.9093823282631613</v>
      </c>
      <c r="V34" s="34" t="n">
        <v>0.8585318297146911</v>
      </c>
      <c r="W34" s="33" t="n">
        <v>1.325995702749992</v>
      </c>
      <c r="X34" s="33" t="n">
        <v>180.24072265625</v>
      </c>
      <c r="Y34" s="33" t="inlineStr">
        <is>
          <t>N</t>
        </is>
      </c>
      <c r="Z34" s="34" t="n"/>
      <c r="AA34" s="34" t="n"/>
      <c r="AB34" s="33" t="inlineStr">
        <is>
          <t>figures/init-xavier.png</t>
        </is>
      </c>
      <c r="AC34" s="33" t="inlineStr"/>
      <c r="AD34" s="35">
        <f>IF(P34="","",P34-LN(7))</f>
        <v>0.07626603790991182</v>
      </c>
      <c r="AE34" s="35">
        <f>IF(OR(T34="",S34=""),"",T34-S34)</f>
        <v>0.020650244343169394</v>
      </c>
      <c r="AF34" s="35">
        <f>IF(OR(V34="",Seeds!$C$8=""),"",V34-Seeds!$C$8)</f>
        <v>0.0023057140293131217</v>
      </c>
      <c r="AG34" s="35" t="str">
        <f>IF(OR(AF34="",Seeds!$C$10=""),"",IF(ABS(AF34)&gt;Seeds!$C$10,"Có","Không"))</f>
        <v>Không</v>
      </c>
    </row>
    <row r="35" ht="15" customHeight="1" s="20">
      <c r="A35" s="33" t="inlineStr">
        <is>
          <t>init-zeros</t>
        </is>
      </c>
      <c r="B35" s="33" t="inlineStr">
        <is>
          <t>init</t>
        </is>
      </c>
      <c r="C35" s="33" t="inlineStr">
        <is>
          <t>khởi tạo zeros thay cho He (bias = 0)</t>
        </is>
      </c>
      <c r="D35" s="33" t="inlineStr">
        <is>
          <t>CE</t>
        </is>
      </c>
      <c r="E35" s="33" t="inlineStr">
        <is>
          <t>SGD+momentum</t>
        </is>
      </c>
      <c r="F35" s="33" t="n">
        <v>0.1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zeros</t>
        </is>
      </c>
      <c r="O35" s="33" t="n">
        <v>1</v>
      </c>
      <c r="P35" s="34" t="n">
        <v>1.945909991577953</v>
      </c>
      <c r="Q35" s="34" t="n">
        <v>1.205199513933734</v>
      </c>
      <c r="R35" s="33" t="n">
        <v>14</v>
      </c>
      <c r="S35" s="34" t="n">
        <v>1.203626824302673</v>
      </c>
      <c r="T35" s="34" t="n">
        <v>1.205618766041955</v>
      </c>
      <c r="U35" s="34" t="n">
        <v>0.4875970826789441</v>
      </c>
      <c r="V35" s="34" t="n">
        <v>0.09364999018625454</v>
      </c>
      <c r="W35" s="33" t="n">
        <v>1.295827406150011</v>
      </c>
      <c r="X35" s="33" t="n">
        <v>179.87451171875</v>
      </c>
      <c r="Y35" s="33" t="inlineStr">
        <is>
          <t>N</t>
        </is>
      </c>
      <c r="Z35" s="34" t="n"/>
      <c r="AA35" s="34" t="n"/>
      <c r="AB35" s="33" t="inlineStr">
        <is>
          <t>figures/init-zeros.png</t>
        </is>
      </c>
      <c r="AC35" s="33" t="inlineStr"/>
      <c r="AD35" s="35">
        <f>IF(P35="","",P35-LN(7))</f>
        <v>-1.5747736026305859e-07</v>
      </c>
      <c r="AE35" s="35">
        <f>IF(OR(T35="",S35=""),"",T35-S35)</f>
        <v>0.001991941739281966</v>
      </c>
      <c r="AF35" s="35">
        <f>IF(OR(V35="",Seeds!$C$8=""),"",V35-Seeds!$C$8)</f>
        <v>-0.7625761254991235</v>
      </c>
      <c r="AG35" s="35" t="str">
        <f>IF(OR(AF35="",Seeds!$C$10=""),"",IF(ABS(AF35)&gt;Seeds!$C$10,"Có","Không"))</f>
        <v>Có</v>
      </c>
    </row>
    <row r="36" ht="15" customHeight="1" s="20">
      <c r="A36" s="33" t="inlineStr">
        <is>
          <t>final-base-d0-s1</t>
        </is>
      </c>
      <c r="B36" s="33" t="inlineStr">
        <is>
          <t>final</t>
        </is>
      </c>
      <c r="C36" s="33" t="inlineStr">
        <is>
          <t>ứng viên cuối: adamw lr=0.003, base, dropout 0, 60 epoch, cosine</t>
        </is>
      </c>
      <c r="D36" s="33" t="inlineStr">
        <is>
          <t>CE</t>
        </is>
      </c>
      <c r="E36" s="33" t="inlineStr">
        <is>
          <t>AdamW</t>
        </is>
      </c>
      <c r="F36" s="33" t="n">
        <v>0.003</v>
      </c>
      <c r="G36" s="33" t="n">
        <v>0.01</v>
      </c>
      <c r="H36" s="33" t="n">
        <v>512</v>
      </c>
      <c r="I36" s="33" t="n">
        <v>60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he</t>
        </is>
      </c>
      <c r="O36" s="33" t="n">
        <v>1</v>
      </c>
      <c r="P36" s="34" t="n">
        <v>2.269061790045372</v>
      </c>
      <c r="Q36" s="34" t="n">
        <v>0.1493634284161364</v>
      </c>
      <c r="R36" s="33" t="n">
        <v>60</v>
      </c>
      <c r="S36" s="34" t="n">
        <v>0.1114207256674767</v>
      </c>
      <c r="T36" s="34" t="n">
        <v>0.1493634284161364</v>
      </c>
      <c r="U36" s="34" t="n">
        <v>0.9429336718228953</v>
      </c>
      <c r="V36" s="34" t="n">
        <v>0.9115652965815693</v>
      </c>
      <c r="W36" s="33" t="n">
        <v>1.492653562416649</v>
      </c>
      <c r="X36" s="33" t="n">
        <v>180.97314453125</v>
      </c>
      <c r="Y36" s="33" t="inlineStr">
        <is>
          <t>N</t>
        </is>
      </c>
      <c r="Z36" s="34" t="n"/>
      <c r="AA36" s="34" t="n"/>
      <c r="AB36" s="33" t="inlineStr">
        <is>
          <t>figures/final-base-d0-s1.png</t>
        </is>
      </c>
      <c r="AC36" s="33" t="inlineStr">
        <is>
          <t>scheduler=cosine</t>
        </is>
      </c>
      <c r="AD36" s="35">
        <f>IF(P36="","",P36-LN(7))</f>
        <v>0.3231516409900588</v>
      </c>
      <c r="AE36" s="35">
        <f>IF(OR(T36="",S36=""),"",T36-S36)</f>
        <v>0.0379427027486597</v>
      </c>
      <c r="AF36" s="35">
        <f>IF(OR(V36="",Seeds!$C$8=""),"",V36-Seeds!$C$8)</f>
        <v>0.055339180896191276</v>
      </c>
      <c r="AG36" s="35" t="str">
        <f>IF(OR(AF36="",Seeds!$C$10=""),"",IF(ABS(AF36)&gt;Seeds!$C$10,"Có","Không"))</f>
        <v>Có</v>
      </c>
    </row>
    <row r="37" ht="15" customHeight="1" s="20">
      <c r="A37" s="33" t="inlineStr">
        <is>
          <t>final-base-d0.1-s1</t>
        </is>
      </c>
      <c r="B37" s="33" t="inlineStr">
        <is>
          <t>final</t>
        </is>
      </c>
      <c r="C37" s="33" t="inlineStr">
        <is>
          <t>ứng viên cuối: adamw lr=0.003, base, dropout 0.1, 60 epoch, cosine</t>
        </is>
      </c>
      <c r="D37" s="33" t="inlineStr">
        <is>
          <t>CE</t>
        </is>
      </c>
      <c r="E37" s="33" t="inlineStr">
        <is>
          <t>AdamW</t>
        </is>
      </c>
      <c r="F37" s="33" t="n">
        <v>0.003</v>
      </c>
      <c r="G37" s="33" t="n">
        <v>0.01</v>
      </c>
      <c r="H37" s="33" t="n">
        <v>512</v>
      </c>
      <c r="I37" s="33" t="n">
        <v>60</v>
      </c>
      <c r="J37" s="33" t="inlineStr">
        <is>
          <t>256-128</t>
        </is>
      </c>
      <c r="K37" s="33" t="n">
        <v>0.1</v>
      </c>
      <c r="L37" s="33" t="inlineStr">
        <is>
          <t>none</t>
        </is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2.269061790045372</v>
      </c>
      <c r="Q37" s="34" t="n">
        <v>0.1713384583639541</v>
      </c>
      <c r="R37" s="33" t="n">
        <v>60</v>
      </c>
      <c r="S37" s="34" t="n">
        <v>0.1499565788221359</v>
      </c>
      <c r="T37" s="34" t="n">
        <v>0.1713384583639541</v>
      </c>
      <c r="U37" s="34" t="n">
        <v>0.933575009143521</v>
      </c>
      <c r="V37" s="34" t="n">
        <v>0.8972790101624074</v>
      </c>
      <c r="W37" s="33" t="n">
        <v>1.607489138450001</v>
      </c>
      <c r="X37" s="33" t="n">
        <v>181.15625</v>
      </c>
      <c r="Y37" s="33" t="inlineStr">
        <is>
          <t>N</t>
        </is>
      </c>
      <c r="Z37" s="34" t="n"/>
      <c r="AA37" s="34" t="n"/>
      <c r="AB37" s="33" t="inlineStr">
        <is>
          <t>figures/final-base-d0.1-s1.png</t>
        </is>
      </c>
      <c r="AC37" s="33" t="inlineStr">
        <is>
          <t>scheduler=cosine</t>
        </is>
      </c>
      <c r="AD37" s="35">
        <f>IF(P37="","",P37-LN(7))</f>
        <v>0.3231516409900588</v>
      </c>
      <c r="AE37" s="35">
        <f>IF(OR(T37="",S37=""),"",T37-S37)</f>
        <v>0.021381879541818194</v>
      </c>
      <c r="AF37" s="35">
        <f>IF(OR(V37="",Seeds!$C$8=""),"",V37-Seeds!$C$8)</f>
        <v>0.04105289447702942</v>
      </c>
      <c r="AG37" s="35" t="str">
        <f>IF(OR(AF37="",Seeds!$C$10=""),"",IF(ABS(AF37)&gt;Seeds!$C$10,"Có","Không"))</f>
        <v>Có</v>
      </c>
    </row>
    <row r="38" ht="15" customHeight="1" s="20">
      <c r="A38" s="33" t="inlineStr">
        <is>
          <t>final-wide-d0-s1</t>
        </is>
      </c>
      <c r="B38" s="33" t="inlineStr">
        <is>
          <t>final</t>
        </is>
      </c>
      <c r="C38" s="33" t="inlineStr">
        <is>
          <t>ứng viên cuối: adamw lr=0.003, wide, dropout 0, 60 epoch, cosine</t>
        </is>
      </c>
      <c r="D38" s="33" t="inlineStr">
        <is>
          <t>CE</t>
        </is>
      </c>
      <c r="E38" s="33" t="inlineStr">
        <is>
          <t>AdamW</t>
        </is>
      </c>
      <c r="F38" s="33" t="n">
        <v>0.003</v>
      </c>
      <c r="G38" s="33" t="n">
        <v>0.01</v>
      </c>
      <c r="H38" s="33" t="n">
        <v>512</v>
      </c>
      <c r="I38" s="33" t="n">
        <v>60</v>
      </c>
      <c r="J38" s="33" t="inlineStr">
        <is>
          <t>512-256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1.918216562458853</v>
      </c>
      <c r="Q38" s="34" t="n">
        <v>0.1133214844682203</v>
      </c>
      <c r="R38" s="33" t="n">
        <v>57</v>
      </c>
      <c r="S38" s="34" t="n">
        <v>0.0576956450176239</v>
      </c>
      <c r="T38" s="34" t="n">
        <v>0.1133621093080088</v>
      </c>
      <c r="U38" s="34" t="n">
        <v>0.957584819603709</v>
      </c>
      <c r="V38" s="34" t="n">
        <v>0.9299782798759233</v>
      </c>
      <c r="W38" s="33" t="n">
        <v>1.51290428436666</v>
      </c>
      <c r="X38" s="33" t="n">
        <v>199.50244140625</v>
      </c>
      <c r="Y38" s="33" t="inlineStr">
        <is>
          <t>N</t>
        </is>
      </c>
      <c r="Z38" s="34" t="n">
        <v>0.9570751185425506</v>
      </c>
      <c r="AA38" s="34" t="n">
        <v>0.9341522431837351</v>
      </c>
      <c r="AB38" s="33" t="inlineStr">
        <is>
          <t>figures/final-wide-d0-s1.png</t>
        </is>
      </c>
      <c r="AC38" s="33" t="inlineStr">
        <is>
          <t>scheduler=cosine</t>
        </is>
      </c>
      <c r="AD38" s="35">
        <f>IF(P38="","",P38-LN(7))</f>
        <v>-0.027693586596460262</v>
      </c>
      <c r="AE38" s="35">
        <f>IF(OR(T38="",S38=""),"",T38-S38)</f>
        <v>0.0556664642903849</v>
      </c>
      <c r="AF38" s="35">
        <f>IF(OR(V38="",Seeds!$C$8=""),"",V38-Seeds!$C$8)</f>
        <v>0.07375216419054531</v>
      </c>
      <c r="AG38" s="35" t="str">
        <f>IF(OR(AF38="",Seeds!$C$10=""),"",IF(ABS(AF38)&gt;Seeds!$C$10,"Có","Không"))</f>
        <v>Có</v>
      </c>
    </row>
    <row r="39" ht="15" customHeight="1" s="20">
      <c r="A39" s="33" t="inlineStr">
        <is>
          <t>final-wide-d0-s2</t>
        </is>
      </c>
      <c r="B39" s="33" t="inlineStr">
        <is>
          <t>final</t>
        </is>
      </c>
      <c r="C39" s="33" t="inlineStr">
        <is>
          <t>ứng viên cuối: adamw lr=0.003, wide, dropout 0, 60 epoch, cosine, seed 2</t>
        </is>
      </c>
      <c r="D39" s="33" t="inlineStr">
        <is>
          <t>CE</t>
        </is>
      </c>
      <c r="E39" s="33" t="inlineStr">
        <is>
          <t>AdamW</t>
        </is>
      </c>
      <c r="F39" s="33" t="n">
        <v>0.003</v>
      </c>
      <c r="G39" s="33" t="n">
        <v>0.01</v>
      </c>
      <c r="H39" s="33" t="n">
        <v>512</v>
      </c>
      <c r="I39" s="33" t="n">
        <v>60</v>
      </c>
      <c r="J39" s="33" t="inlineStr">
        <is>
          <t>512-256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2</v>
      </c>
      <c r="P39" s="34" t="n">
        <v>2.651977133923776</v>
      </c>
      <c r="Q39" s="34" t="n">
        <v>0.1168888490102482</v>
      </c>
      <c r="R39" s="33" t="n">
        <v>58</v>
      </c>
      <c r="S39" s="34" t="n">
        <v>0.06244117833018303</v>
      </c>
      <c r="T39" s="34" t="n">
        <v>0.1168970435422417</v>
      </c>
      <c r="U39" s="34" t="n">
        <v>0.9563047266625072</v>
      </c>
      <c r="V39" s="34" t="n">
        <v>0.9279974379954871</v>
      </c>
      <c r="W39" s="33" t="n">
        <v>1.504984832433331</v>
      </c>
      <c r="X39" s="33" t="n">
        <v>200.73388671875</v>
      </c>
      <c r="Y39" s="33" t="inlineStr">
        <is>
          <t>N</t>
        </is>
      </c>
      <c r="Z39" s="34" t="n"/>
      <c r="AA39" s="34" t="n"/>
      <c r="AB39" s="33" t="inlineStr">
        <is>
          <t>figures/final-wide-d0-s2.png</t>
        </is>
      </c>
      <c r="AC39" s="33" t="inlineStr">
        <is>
          <t>scheduler=cosine</t>
        </is>
      </c>
      <c r="AD39" s="35">
        <f>IF(P39="","",P39-LN(7))</f>
        <v>0.7060669848684629</v>
      </c>
      <c r="AE39" s="35">
        <f>IF(OR(T39="",S39=""),"",T39-S39)</f>
        <v>0.054455865212058675</v>
      </c>
      <c r="AF39" s="35">
        <f>IF(OR(V39="",Seeds!$C$8=""),"",V39-Seeds!$C$8)</f>
        <v>0.07177132231010908</v>
      </c>
      <c r="AG39" s="35" t="str">
        <f>IF(OR(AF39="",Seeds!$C$10=""),"",IF(ABS(AF39)&gt;Seeds!$C$10,"Có","Không"))</f>
        <v>Có</v>
      </c>
    </row>
    <row r="40" ht="15" customHeight="1" s="20">
      <c r="A40" s="33" t="inlineStr">
        <is>
          <t>final-wide-d0-s3</t>
        </is>
      </c>
      <c r="B40" s="33" t="inlineStr">
        <is>
          <t>final</t>
        </is>
      </c>
      <c r="C40" s="33" t="inlineStr">
        <is>
          <t>ứng viên cuối: adamw lr=0.003, wide, dropout 0, 60 epoch, cosine, seed 3</t>
        </is>
      </c>
      <c r="D40" s="33" t="inlineStr">
        <is>
          <t>CE</t>
        </is>
      </c>
      <c r="E40" s="33" t="inlineStr">
        <is>
          <t>AdamW</t>
        </is>
      </c>
      <c r="F40" s="33" t="n">
        <v>0.003</v>
      </c>
      <c r="G40" s="33" t="n">
        <v>0.01</v>
      </c>
      <c r="H40" s="33" t="n">
        <v>512</v>
      </c>
      <c r="I40" s="33" t="n">
        <v>60</v>
      </c>
      <c r="J40" s="33" t="inlineStr">
        <is>
          <t>512-256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3</v>
      </c>
      <c r="P40" s="34" t="n">
        <v>2.788174631052872</v>
      </c>
      <c r="Q40" s="34" t="n">
        <v>0.1161067988796049</v>
      </c>
      <c r="R40" s="33" t="n">
        <v>59</v>
      </c>
      <c r="S40" s="34" t="n">
        <v>0.06132115325212479</v>
      </c>
      <c r="T40" s="34" t="n">
        <v>0.1161121853052273</v>
      </c>
      <c r="U40" s="34" t="n">
        <v>0.9562616983283492</v>
      </c>
      <c r="V40" s="34" t="n">
        <v>0.9296386265407012</v>
      </c>
      <c r="W40" s="33" t="n">
        <v>1.505971374733357</v>
      </c>
      <c r="X40" s="33" t="n">
        <v>201.349609375</v>
      </c>
      <c r="Y40" s="33" t="inlineStr">
        <is>
          <t>N</t>
        </is>
      </c>
      <c r="Z40" s="34" t="n"/>
      <c r="AA40" s="34" t="n"/>
      <c r="AB40" s="33" t="inlineStr">
        <is>
          <t>figures/final-wide-d0-s3.png</t>
        </is>
      </c>
      <c r="AC40" s="33" t="inlineStr">
        <is>
          <t>scheduler=cosine</t>
        </is>
      </c>
      <c r="AD40" s="35">
        <f>IF(P40="","",P40-LN(7))</f>
        <v>0.8422644819975587</v>
      </c>
      <c r="AE40" s="35">
        <f>IF(OR(T40="",S40=""),"",T40-S40)</f>
        <v>0.054791032053102505</v>
      </c>
      <c r="AF40" s="35">
        <f>IF(OR(V40="",Seeds!$C$8=""),"",V40-Seeds!$C$8)</f>
        <v>0.07341251085532319</v>
      </c>
      <c r="AG40" s="35" t="str">
        <f>IF(OR(AF40="",Seeds!$C$10=""),"",IF(ABS(AF40)&gt;Seeds!$C$10,"Có","Không"))</f>
        <v>Có</v>
      </c>
    </row>
    <row r="41" ht="15" customHeight="1" s="20">
      <c r="A41" s="33" t="inlineStr">
        <is>
          <t>final-wide-d0.1-s1</t>
        </is>
      </c>
      <c r="B41" s="33" t="inlineStr">
        <is>
          <t>final</t>
        </is>
      </c>
      <c r="C41" s="33" t="inlineStr">
        <is>
          <t>ứng viên cuối: adamw lr=0.003, wide, dropout 0.1, 60 epoch, cosine</t>
        </is>
      </c>
      <c r="D41" s="33" t="inlineStr">
        <is>
          <t>CE</t>
        </is>
      </c>
      <c r="E41" s="33" t="inlineStr">
        <is>
          <t>AdamW</t>
        </is>
      </c>
      <c r="F41" s="33" t="n">
        <v>0.003</v>
      </c>
      <c r="G41" s="33" t="n">
        <v>0.01</v>
      </c>
      <c r="H41" s="33" t="n">
        <v>512</v>
      </c>
      <c r="I41" s="33" t="n">
        <v>60</v>
      </c>
      <c r="J41" s="33" t="inlineStr">
        <is>
          <t>512-256</t>
        </is>
      </c>
      <c r="K41" s="33" t="n">
        <v>0.1</v>
      </c>
      <c r="L41" s="33" t="inlineStr">
        <is>
          <t>none</t>
        </is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1.918216562458853</v>
      </c>
      <c r="Q41" s="34" t="n">
        <v>0.1230409074932082</v>
      </c>
      <c r="R41" s="33" t="n">
        <v>60</v>
      </c>
      <c r="S41" s="34" t="n">
        <v>0.09019716337442397</v>
      </c>
      <c r="T41" s="34" t="n">
        <v>0.1230409074932082</v>
      </c>
      <c r="U41" s="34" t="n">
        <v>0.9516899378240571</v>
      </c>
      <c r="V41" s="34" t="n">
        <v>0.9249387930794208</v>
      </c>
      <c r="W41" s="33" t="n">
        <v>1.645770050950004</v>
      </c>
      <c r="X41" s="33" t="n">
        <v>200.1181640625</v>
      </c>
      <c r="Y41" s="33" t="inlineStr">
        <is>
          <t>N</t>
        </is>
      </c>
      <c r="Z41" s="34" t="n"/>
      <c r="AA41" s="34" t="n"/>
      <c r="AB41" s="33" t="inlineStr">
        <is>
          <t>figures/final-wide-d0.1-s1.png</t>
        </is>
      </c>
      <c r="AC41" s="33" t="inlineStr">
        <is>
          <t>scheduler=cosine</t>
        </is>
      </c>
      <c r="AD41" s="35">
        <f>IF(P41="","",P41-LN(7))</f>
        <v>-0.027693586596460262</v>
      </c>
      <c r="AE41" s="35">
        <f>IF(OR(T41="",S41=""),"",T41-S41)</f>
        <v>0.03284374411878423</v>
      </c>
      <c r="AF41" s="35">
        <f>IF(OR(V41="",Seeds!$C$8=""),"",V41-Seeds!$C$8)</f>
        <v>0.06871267739404285</v>
      </c>
      <c r="AG41" s="35" t="str">
        <f>IF(OR(AF41="",Seeds!$C$10=""),"",IF(ABS(AF41)&gt;Seeds!$C$10,"Có","Không"))</f>
        <v>Có</v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 t="str">
        <f>IF(P42="","",P42-LN(7))</f>
        <v/>
      </c>
      <c r="AE42" s="35" t="str">
        <f>IF(OR(T42="",S42=""),"",T42-S42)</f>
        <v/>
      </c>
      <c r="AF42" s="35" t="str">
        <f>IF(OR(V42="",Seeds!$C$8=""),"",V42-Seeds!$C$8)</f>
        <v/>
      </c>
      <c r="AG42" s="35" t="str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 t="str">
        <f>IF(P43="","",P43-LN(7))</f>
        <v/>
      </c>
      <c r="AE43" s="35" t="str">
        <f>IF(OR(T43="",S43=""),"",T43-S43)</f>
        <v/>
      </c>
      <c r="AF43" s="35" t="str">
        <f>IF(OR(V43="",Seeds!$C$8=""),"",V43-Seeds!$C$8)</f>
        <v/>
      </c>
      <c r="AG43" s="35" t="str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 t="str">
        <f>IF(P44="","",P44-LN(7))</f>
        <v/>
      </c>
      <c r="AE44" s="35" t="str">
        <f>IF(OR(T44="",S44=""),"",T44-S44)</f>
        <v/>
      </c>
      <c r="AF44" s="35" t="str">
        <f>IF(OR(V44="",Seeds!$C$8=""),"",V44-Seeds!$C$8)</f>
        <v/>
      </c>
      <c r="AG44" s="35" t="str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 t="str">
        <f>IF(P45="","",P45-LN(7))</f>
        <v/>
      </c>
      <c r="AE45" s="35" t="str">
        <f>IF(OR(T45="",S45=""),"",T45-S45)</f>
        <v/>
      </c>
      <c r="AF45" s="35" t="str">
        <f>IF(OR(V45="",Seeds!$C$8=""),"",V45-Seeds!$C$8)</f>
        <v/>
      </c>
      <c r="AG45" s="35" t="str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 t="str">
        <f>IF(P46="","",P46-LN(7))</f>
        <v/>
      </c>
      <c r="AE46" s="35" t="str">
        <f>IF(OR(T46="",S46=""),"",T46-S46)</f>
        <v/>
      </c>
      <c r="AF46" s="35" t="str">
        <f>IF(OR(V46="",Seeds!$C$8=""),"",V46-Seeds!$C$8)</f>
        <v/>
      </c>
      <c r="AG46" s="35" t="str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 t="str">
        <f>IF(P47="","",P47-LN(7))</f>
        <v/>
      </c>
      <c r="AE47" s="35" t="str">
        <f>IF(OR(T47="",S47=""),"",T47-S47)</f>
        <v/>
      </c>
      <c r="AF47" s="35" t="str">
        <f>IF(OR(V47="",Seeds!$C$8=""),"",V47-Seeds!$C$8)</f>
        <v/>
      </c>
      <c r="AG47" s="35" t="str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 t="str">
        <f>IF(P48="","",P48-LN(7))</f>
        <v/>
      </c>
      <c r="AE48" s="35" t="str">
        <f>IF(OR(T48="",S48=""),"",T48-S48)</f>
        <v/>
      </c>
      <c r="AF48" s="35" t="str">
        <f>IF(OR(V48="",Seeds!$C$8=""),"",V48-Seeds!$C$8)</f>
        <v/>
      </c>
      <c r="AG48" s="35" t="str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 t="str">
        <f>IF(P49="","",P49-LN(7))</f>
        <v/>
      </c>
      <c r="AE49" s="35" t="str">
        <f>IF(OR(T49="",S49=""),"",T49-S49)</f>
        <v/>
      </c>
      <c r="AF49" s="35" t="str">
        <f>IF(OR(V49="",Seeds!$C$8=""),"",V49-Seeds!$C$8)</f>
        <v/>
      </c>
      <c r="AG49" s="35" t="str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 t="str">
        <f>IF(P50="","",P50-LN(7))</f>
        <v/>
      </c>
      <c r="AE50" s="35" t="str">
        <f>IF(OR(T50="",S50=""),"",T50-S50)</f>
        <v/>
      </c>
      <c r="AF50" s="35" t="str">
        <f>IF(OR(V50="",Seeds!$C$8=""),"",V50-Seeds!$C$8)</f>
        <v/>
      </c>
      <c r="AG50" s="35" t="str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 t="str">
        <f>IF(P51="","",P51-LN(7))</f>
        <v/>
      </c>
      <c r="AE51" s="35" t="str">
        <f>IF(OR(T51="",S51=""),"",T51-S51)</f>
        <v/>
      </c>
      <c r="AF51" s="35" t="str">
        <f>IF(OR(V51="",Seeds!$C$8=""),"",V51-Seeds!$C$8)</f>
        <v/>
      </c>
      <c r="AG51" s="35" t="str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 t="str">
        <f>IF(P52="","",P52-LN(7))</f>
        <v/>
      </c>
      <c r="AE52" s="35" t="str">
        <f>IF(OR(T52="",S52=""),"",T52-S52)</f>
        <v/>
      </c>
      <c r="AF52" s="35" t="str">
        <f>IF(OR(V52="",Seeds!$C$8=""),"",V52-Seeds!$C$8)</f>
        <v/>
      </c>
      <c r="AG52" s="35" t="str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 t="str">
        <f>IF(P53="","",P53-LN(7))</f>
        <v/>
      </c>
      <c r="AE53" s="35" t="str">
        <f>IF(OR(T53="",S53=""),"",T53-S53)</f>
        <v/>
      </c>
      <c r="AF53" s="35" t="str">
        <f>IF(OR(V53="",Seeds!$C$8=""),"",V53-Seeds!$C$8)</f>
        <v/>
      </c>
      <c r="AG53" s="35" t="str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 t="str">
        <f>IF(P54="","",P54-LN(7))</f>
        <v/>
      </c>
      <c r="AE54" s="35" t="str">
        <f>IF(OR(T54="",S54=""),"",T54-S54)</f>
        <v/>
      </c>
      <c r="AF54" s="35" t="str">
        <f>IF(OR(V54="",Seeds!$C$8=""),"",V54-Seeds!$C$8)</f>
        <v/>
      </c>
      <c r="AG54" s="35" t="str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 t="str">
        <f>IF(P55="","",P55-LN(7))</f>
        <v/>
      </c>
      <c r="AE55" s="35" t="str">
        <f>IF(OR(T55="",S55=""),"",T55-S55)</f>
        <v/>
      </c>
      <c r="AF55" s="35" t="str">
        <f>IF(OR(V55="",Seeds!$C$8=""),"",V55-Seeds!$C$8)</f>
        <v/>
      </c>
      <c r="AG55" s="35" t="str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 t="str">
        <f>IF(P56="","",P56-LN(7))</f>
        <v/>
      </c>
      <c r="AE56" s="35" t="str">
        <f>IF(OR(T56="",S56=""),"",T56-S56)</f>
        <v/>
      </c>
      <c r="AF56" s="35" t="str">
        <f>IF(OR(V56="",Seeds!$C$8=""),"",V56-Seeds!$C$8)</f>
        <v/>
      </c>
      <c r="AG56" s="35" t="str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 t="str">
        <f>IF(P57="","",P57-LN(7))</f>
        <v/>
      </c>
      <c r="AE57" s="35" t="str">
        <f>IF(OR(T57="",S57=""),"",T57-S57)</f>
        <v/>
      </c>
      <c r="AF57" s="35" t="str">
        <f>IF(OR(V57="",Seeds!$C$8=""),"",V57-Seeds!$C$8)</f>
        <v/>
      </c>
      <c r="AG57" s="35" t="str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 t="str">
        <f>IF(P58="","",P58-LN(7))</f>
        <v/>
      </c>
      <c r="AE58" s="35" t="str">
        <f>IF(OR(T58="",S58=""),"",T58-S58)</f>
        <v/>
      </c>
      <c r="AF58" s="35" t="str">
        <f>IF(OR(V58="",Seeds!$C$8=""),"",V58-Seeds!$C$8)</f>
        <v/>
      </c>
      <c r="AG58" s="35" t="str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 t="str">
        <f>IF(P59="","",P59-LN(7))</f>
        <v/>
      </c>
      <c r="AE59" s="35" t="str">
        <f>IF(OR(T59="",S59=""),"",T59-S59)</f>
        <v/>
      </c>
      <c r="AF59" s="35" t="str">
        <f>IF(OR(V59="",Seeds!$C$8=""),"",V59-Seeds!$C$8)</f>
        <v/>
      </c>
      <c r="AG59" s="35" t="str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 t="str">
        <f>IF(P60="","",P60-LN(7))</f>
        <v/>
      </c>
      <c r="AE60" s="35" t="str">
        <f>IF(OR(T60="",S60=""),"",T60-S60)</f>
        <v/>
      </c>
      <c r="AF60" s="35" t="str">
        <f>IF(OR(V60="",Seeds!$C$8=""),"",V60-Seeds!$C$8)</f>
        <v/>
      </c>
      <c r="AG60" s="35" t="str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 t="str">
        <f>IF(P61="","",P61-LN(7))</f>
        <v/>
      </c>
      <c r="AE61" s="35" t="str">
        <f>IF(OR(T61="",S61=""),"",T61-S61)</f>
        <v/>
      </c>
      <c r="AF61" s="35" t="str">
        <f>IF(OR(V61="",Seeds!$C$8=""),"",V61-Seeds!$C$8)</f>
        <v/>
      </c>
      <c r="AG61" s="35" t="str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>0.9084572190787633</v>
      </c>
      <c r="C2" s="35">
        <f>IF($A2="","",IFERROR(IF(INDEX(Experiments!$V$2:$V$61,MATCH($A2,Experiments!$A$2:$A$61,0))="","",INDEX(Experiments!$V$2:$V$61,MATCH($A2,Experiments!$A$2:$A$61,0))),""))</f>
        <v>0.8583715512810027</v>
      </c>
      <c r="D2" s="35">
        <f>IF($A2="","",IFERROR(IF(INDEX(Experiments!$Q$2:$Q$61,MATCH($A2,Experiments!$A$2:$A$61,0))="","",INDEX(Experiments!$Q$2:$Q$61,MATCH($A2,Experiments!$A$2:$A$61,0))),""))</f>
        <v>0.2314339528396745</v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>0.9097588261870442</v>
      </c>
      <c r="C3" s="35">
        <f>IF($A3="","",IFERROR(IF(INDEX(Experiments!$V$2:$V$61,MATCH($A3,Experiments!$A$2:$A$61,0))="","",INDEX(Experiments!$V$2:$V$61,MATCH($A3,Experiments!$A$2:$A$61,0))),""))</f>
        <v>0.8552070258410341</v>
      </c>
      <c r="D3" s="35">
        <f>IF($A3="","",IFERROR(IF(INDEX(Experiments!$Q$2:$Q$61,MATCH($A3,Experiments!$A$2:$A$61,0))="","",INDEX(Experiments!$Q$2:$Q$61,MATCH($A3,Experiments!$A$2:$A$61,0))),""))</f>
        <v>0.2261094462700102</v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>0.909038101589897</v>
      </c>
      <c r="C4" s="35">
        <f>IF($A4="","",IFERROR(IF(INDEX(Experiments!$V$2:$V$61,MATCH($A4,Experiments!$A$2:$A$61,0))="","",INDEX(Experiments!$V$2:$V$61,MATCH($A4,Experiments!$A$2:$A$61,0))),""))</f>
        <v>0.855099769934097</v>
      </c>
      <c r="D4" s="35">
        <f>IF($A4="","",IFERROR(IF(INDEX(Experiments!$Q$2:$Q$61,MATCH($A4,Experiments!$A$2:$A$61,0))="","",INDEX(Experiments!$Q$2:$Q$61,MATCH($A4,Experiments!$A$2:$A$61,0))),""))</f>
        <v>0.2275235552281999</v>
      </c>
    </row>
    <row r="5" ht="15" customHeight="1" s="20">
      <c r="A5" s="33" t="n"/>
      <c r="B5" s="35" t="str">
        <f>IF($A5="","",IFERROR(IF(INDEX(Experiments!$U$2:$U$61,MATCH($A5,Experiments!$A$2:$A$61,0))="","",INDEX(Experiments!$U$2:$U$61,MATCH($A5,Experiments!$A$2:$A$61,0))),""))</f>
        <v/>
      </c>
      <c r="C5" s="35" t="str">
        <f>IF($A5="","",IFERROR(IF(INDEX(Experiments!$V$2:$V$61,MATCH($A5,Experiments!$A$2:$A$61,0))="","",INDEX(Experiments!$V$2:$V$61,MATCH($A5,Experiments!$A$2:$A$61,0))),""))</f>
        <v/>
      </c>
      <c r="D5" s="35" t="str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 t="str">
        <f>IF($A6="","",IFERROR(IF(INDEX(Experiments!$U$2:$U$61,MATCH($A6,Experiments!$A$2:$A$61,0))="","",INDEX(Experiments!$U$2:$U$61,MATCH($A6,Experiments!$A$2:$A$61,0))),""))</f>
        <v/>
      </c>
      <c r="C6" s="35" t="str">
        <f>IF($A6="","",IFERROR(IF(INDEX(Experiments!$V$2:$V$61,MATCH($A6,Experiments!$A$2:$A$61,0))="","",INDEX(Experiments!$V$2:$V$61,MATCH($A6,Experiments!$A$2:$A$61,0))),""))</f>
        <v/>
      </c>
      <c r="D6" s="35" t="str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>0.9090847156185681</v>
      </c>
      <c r="C8" s="35">
        <f>IF(COUNT(C2:C6)=0,"",AVERAGE(C2:C6))</f>
        <v>0.856226115685378</v>
      </c>
      <c r="D8" s="35">
        <f>IF(COUNT(D2:D6)=0,"",AVERAGE(D2:D6))</f>
        <v>0.2283556514459615</v>
      </c>
    </row>
    <row r="9" ht="15" customHeight="1" s="20">
      <c r="A9" s="36" t="inlineStr">
        <is>
          <t>std (mẫu)</t>
        </is>
      </c>
      <c r="B9" s="35">
        <f>IF(COUNT(B2:B6)&lt;2,"",STDEV(B2:B6))</f>
        <v>0.0006520543818068699</v>
      </c>
      <c r="C9" s="35">
        <f>IF(COUNT(C2:C6)&lt;2,"",STDEV(C2:C6))</f>
        <v>0.0018587755051709784</v>
      </c>
      <c r="D9" s="35">
        <f>IF(COUNT(D2:D6)&lt;2,"",STDEV(D2:D6))</f>
        <v>0.002758057403193319</v>
      </c>
    </row>
    <row r="10" ht="15" customHeight="1" s="20">
      <c r="A10" s="36" t="inlineStr">
        <is>
          <t>2σ (ngưỡng nhiễu)</t>
        </is>
      </c>
      <c r="B10" s="35">
        <f>IF(B9="","",2*B9)</f>
        <v>0.0013041087636137397</v>
      </c>
      <c r="C10" s="35">
        <f>IF(C9="","",2*C9)</f>
        <v>0.003717551010341957</v>
      </c>
      <c r="D10" s="35">
        <f>IF(D9="","",2*D9)</f>
        <v>0.005516114806386638</v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>3</v>
      </c>
      <c r="C2" s="37">
        <f>COUNTIFS(Experiments!$B$2:$B$61,A2,Experiments!$V$2:$V$61,"&lt;&gt;")</f>
        <v>3</v>
      </c>
      <c r="D2" s="35">
        <f>IF(C2=0,"",_xlfn.MAXIFS(Experiments!$V$2:$V$61,Experiments!$B$2:$B$61,A2))</f>
        <v>0.8583715512810027</v>
      </c>
      <c r="E2" s="35">
        <f>IF(C2=0,"",_xlfn.MINIFS(Experiments!$V$2:$V$61,Experiments!$B$2:$B$61,A2))</f>
        <v>0.855099769934097</v>
      </c>
      <c r="F2" s="35">
        <f>IF(C2=0,"",_xlfn.MAXIFS(Experiments!$U$2:$U$61,Experiments!$B$2:$B$61,A2))</f>
        <v>0.9097588261870442</v>
      </c>
      <c r="G2" s="37" t="inlineStr">
        <is>
          <t>—</t>
        </is>
      </c>
      <c r="H2" s="38" t="inlineStr">
        <is>
          <t>3 seed SGD+momentum lr 0,1: val macro-F1 0,8562 ± 0,0019 → ngưỡng nhiễu 2σ = 0,0037. Chưa quá khớp: val loss còn giảm ở epoch 20.</t>
        </is>
      </c>
    </row>
    <row r="3" ht="15" customHeight="1" s="20">
      <c r="A3" s="31" t="inlineStr">
        <is>
          <t>loss</t>
        </is>
      </c>
      <c r="B3" s="37">
        <f>COUNTIF(Experiments!$B$2:$B$61,A3)</f>
        <v>1</v>
      </c>
      <c r="C3" s="37">
        <f>COUNTIFS(Experiments!$B$2:$B$61,A3,Experiments!$V$2:$V$61,"&lt;&gt;")</f>
        <v>1</v>
      </c>
      <c r="D3" s="35">
        <f>IF(C3=0,"",_xlfn.MAXIFS(Experiments!$V$2:$V$61,Experiments!$B$2:$B$61,A3))</f>
        <v>0.7329457283393463</v>
      </c>
      <c r="E3" s="35">
        <f>IF(C3=0,"",_xlfn.MINIFS(Experiments!$V$2:$V$61,Experiments!$B$2:$B$61,A3))</f>
        <v>0.7329457283393463</v>
      </c>
      <c r="F3" s="35">
        <f>IF(C3=0,"",_xlfn.MAXIFS(Experiments!$U$2:$U$61,Experiments!$B$2:$B$61,A3))</f>
        <v>0.8712592241991352</v>
      </c>
      <c r="G3" s="37" t="str">
        <f>IF(C3&gt;0,"Có","Chưa")</f>
        <v>Có</v>
      </c>
      <c r="H3" s="38" t="inlineStr">
        <is>
          <t>MSE kém CE 0,123 val macro-F1 (vượt 2σ): ở cùng lr, gradient theo logit nhỏ hơn 5–9 lần; các lớp nhỏ thiệt nhất.</t>
        </is>
      </c>
    </row>
    <row r="4" ht="15" customHeight="1" s="20">
      <c r="A4" s="31" t="inlineStr">
        <is>
          <t>optimizer</t>
        </is>
      </c>
      <c r="B4" s="37">
        <f>COUNTIF(Experiments!$B$2:$B$61,A4)</f>
        <v>14</v>
      </c>
      <c r="C4" s="37">
        <f>COUNTIFS(Experiments!$B$2:$B$61,A4,Experiments!$V$2:$V$61,"&lt;&gt;")</f>
        <v>14</v>
      </c>
      <c r="D4" s="35">
        <f>IF(C4=0,"",_xlfn.MAXIFS(Experiments!$V$2:$V$61,Experiments!$B$2:$B$61,A4))</f>
        <v>0.8757280429905576</v>
      </c>
      <c r="E4" s="35">
        <f>IF(C4=0,"",_xlfn.MINIFS(Experiments!$V$2:$V$61,Experiments!$B$2:$B$61,A4))</f>
        <v>0.7396894743644629</v>
      </c>
      <c r="F4" s="35">
        <f>IF(C4=0,"",_xlfn.MAXIFS(Experiments!$U$2:$U$61,Experiments!$B$2:$B$61,A4))</f>
        <v>0.9177620963404401</v>
      </c>
      <c r="G4" s="37" t="str">
        <f>IF(C4&gt;0,"Có","Chưa")</f>
        <v>Có</v>
      </c>
      <c r="H4" s="38" t="inlineStr">
        <is>
          <t>Ở lr tốt nhất của mỗi bộ: AdamW 3e-3 (0,8757) &gt; Adam 3e-3 (0,8683) &gt; SGD+momentum 0,1 (0,8584) &gt; SGD 1 (0,8100). Mỗi lr 1 seed.</t>
        </is>
      </c>
    </row>
    <row r="5" ht="15" customHeight="1" s="20">
      <c r="A5" s="31" t="inlineStr">
        <is>
          <t>hparam</t>
        </is>
      </c>
      <c r="B5" s="37">
        <f>COUNTIF(Experiments!$B$2:$B$61,A5)</f>
        <v>5</v>
      </c>
      <c r="C5" s="37">
        <f>COUNTIFS(Experiments!$B$2:$B$61,A5,Experiments!$V$2:$V$61,"&lt;&gt;")</f>
        <v>5</v>
      </c>
      <c r="D5" s="35">
        <f>IF(C5=0,"",_xlfn.MAXIFS(Experiments!$V$2:$V$61,Experiments!$B$2:$B$61,A5))</f>
        <v>0.8724522967201161</v>
      </c>
      <c r="E5" s="35">
        <f>IF(C5=0,"",_xlfn.MINIFS(Experiments!$V$2:$V$61,Experiments!$B$2:$B$61,A5))</f>
        <v>0.8090019165202146</v>
      </c>
      <c r="F5" s="35">
        <f>IF(C5=0,"",_xlfn.MAXIFS(Experiments!$U$2:$U$61,Experiments!$B$2:$B$61,A5))</f>
        <v>0.9222155289257976</v>
      </c>
      <c r="G5" s="37" t="str">
        <f>IF(C5&gt;0,"Có","Chưa")</f>
        <v>Có</v>
      </c>
      <c r="H5" s="38" t="inlineStr">
        <is>
          <t>M-wide/M-deep +0,016 (vượt 2σ, model đang underfit). Batch 2048 cùng lr −0,047 vì ít bước; lr×4 + warmup bù lại (trong nhiễu), nhanh 3,6 lần.</t>
        </is>
      </c>
    </row>
    <row r="6" ht="15" customHeight="1" s="20">
      <c r="A6" s="31" t="inlineStr">
        <is>
          <t>dropout</t>
        </is>
      </c>
      <c r="B6" s="37">
        <f>COUNTIF(Experiments!$B$2:$B$61,A6)</f>
        <v>3</v>
      </c>
      <c r="C6" s="37">
        <f>COUNTIFS(Experiments!$B$2:$B$61,A6,Experiments!$V$2:$V$61,"&lt;&gt;")</f>
        <v>3</v>
      </c>
      <c r="D6" s="35">
        <f>IF(C6=0,"",_xlfn.MAXIFS(Experiments!$V$2:$V$61,Experiments!$B$2:$B$61,A6))</f>
        <v>0.8368335608020018</v>
      </c>
      <c r="E6" s="35">
        <f>IF(C6=0,"",_xlfn.MINIFS(Experiments!$V$2:$V$61,Experiments!$B$2:$B$61,A6))</f>
        <v>0.6629585737474877</v>
      </c>
      <c r="F6" s="35">
        <f>IF(C6=0,"",_xlfn.MAXIFS(Experiments!$U$2:$U$61,Experiments!$B$2:$B$61,A6))</f>
        <v>0.8972913663647512</v>
      </c>
      <c r="G6" s="37" t="str">
        <f>IF(C6&gt;0,"Có","Chưa")</f>
        <v>Có</v>
      </c>
      <c r="H6" s="38" t="inlineStr">
        <is>
          <t>q = 0,1/0,3/0,5 đều hại (−0,019/−0,079/−0,193): thu hẹp khoảng cách train–val bằng cách tăng train loss, vì model chưa quá khớp.</t>
        </is>
      </c>
    </row>
    <row r="7" ht="15" customHeight="1" s="20">
      <c r="A7" s="31" t="inlineStr">
        <is>
          <t>clipping</t>
        </is>
      </c>
      <c r="B7" s="37">
        <f>COUNTIF(Experiments!$B$2:$B$61,A7)</f>
        <v>3</v>
      </c>
      <c r="C7" s="37">
        <f>COUNTIFS(Experiments!$B$2:$B$61,A7,Experiments!$V$2:$V$61,"&lt;&gt;")</f>
        <v>3</v>
      </c>
      <c r="D7" s="35">
        <f>IF(C7=0,"",_xlfn.MAXIFS(Experiments!$V$2:$V$61,Experiments!$B$2:$B$61,A7))</f>
        <v>0.8547838329073392</v>
      </c>
      <c r="E7" s="35">
        <f>IF(C7=0,"",_xlfn.MINIFS(Experiments!$V$2:$V$61,Experiments!$B$2:$B$61,A7))</f>
        <v>0.7669600765882739</v>
      </c>
      <c r="F7" s="35">
        <f>IF(C7=0,"",_xlfn.MAXIFS(Experiments!$U$2:$U$61,Experiments!$B$2:$B$61,A7))</f>
        <v>0.9088552311697252</v>
      </c>
      <c r="G7" s="37" t="str">
        <f>IF(C7&gt;0,"Có","Chưa")</f>
        <v>Có</v>
      </c>
      <c r="H7" s="38" t="inlineStr">
        <is>
          <t>c = 0,56 (≈ trung vị grad_norm) ở lr 0,1: trong nhiễu. Ở lr 1, clip hơn không clip 0,04 nhưng vẫn kém baseline: chỉ chặn spike ở epoch 1.</t>
        </is>
      </c>
    </row>
    <row r="8" ht="15" customHeight="1" s="20">
      <c r="A8" s="31" t="inlineStr">
        <is>
          <t>amp</t>
        </is>
      </c>
      <c r="B8" s="37">
        <f>COUNTIF(Experiments!$B$2:$B$61,A8)</f>
        <v>2</v>
      </c>
      <c r="C8" s="37">
        <f>COUNTIFS(Experiments!$B$2:$B$61,A8,Experiments!$V$2:$V$61,"&lt;&gt;")</f>
        <v>2</v>
      </c>
      <c r="D8" s="35">
        <f>IF(C8=0,"",_xlfn.MAXIFS(Experiments!$V$2:$V$61,Experiments!$B$2:$B$61,A8))</f>
        <v>0.8548899100991895</v>
      </c>
      <c r="E8" s="35">
        <f>IF(C8=0,"",_xlfn.MINIFS(Experiments!$V$2:$V$61,Experiments!$B$2:$B$61,A8))</f>
        <v>0.8547247844345146</v>
      </c>
      <c r="F8" s="35">
        <f>IF(C8=0,"",_xlfn.MAXIFS(Experiments!$U$2:$U$61,Experiments!$B$2:$B$61,A8))</f>
        <v>0.908597061164777</v>
      </c>
      <c r="G8" s="37" t="str">
        <f>IF(C8&gt;0,"Có","Chưa")</f>
        <v>Có</v>
      </c>
      <c r="H8" s="38" t="inlineStr">
        <is>
          <t>FP16/BF16 giữ nguyên F1 (trong nhiễu) nhưng chậm hơn FP32 (1,80/1,53 so với 1,31 s/epoch): model quá nhỏ, T4 không có BF16 phần cứng.</t>
        </is>
      </c>
    </row>
    <row r="9" ht="15" customHeight="1" s="20">
      <c r="A9" s="31" t="inlineStr">
        <is>
          <t>init</t>
        </is>
      </c>
      <c r="B9" s="37">
        <f>COUNTIF(Experiments!$B$2:$B$61,A9)</f>
        <v>3</v>
      </c>
      <c r="C9" s="37">
        <f>COUNTIFS(Experiments!$B$2:$B$61,A9,Experiments!$V$2:$V$61,"&lt;&gt;")</f>
        <v>3</v>
      </c>
      <c r="D9" s="35">
        <f>IF(C9=0,"",_xlfn.MAXIFS(Experiments!$V$2:$V$61,Experiments!$B$2:$B$61,A9))</f>
        <v>0.8585318297146911</v>
      </c>
      <c r="E9" s="35">
        <f>IF(C9=0,"",_xlfn.MINIFS(Experiments!$V$2:$V$61,Experiments!$B$2:$B$61,A9))</f>
        <v>0.09364999018625454</v>
      </c>
      <c r="F9" s="35">
        <f>IF(C9=0,"",_xlfn.MAXIFS(Experiments!$U$2:$U$61,Experiments!$B$2:$B$61,A9))</f>
        <v>0.9093823282631613</v>
      </c>
      <c r="G9" s="37" t="str">
        <f>IF(C9&gt;0,"Có","Chưa")</f>
        <v>Có</v>
      </c>
      <c r="H9" s="38" t="inlineStr">
        <is>
          <t>zeros kẹt ở mốc đoán đa số (F1 0,094, chỉ b3 có gradient); normal(0,01) khởi đầu chậm, −0,008; xavier ngang He (trong nhiễu).</t>
        </is>
      </c>
    </row>
    <row r="10" ht="15" customHeight="1" s="20">
      <c r="A10" s="31" t="inlineStr">
        <is>
          <t>final</t>
        </is>
      </c>
      <c r="B10" s="37">
        <f>COUNTIF(Experiments!$B$2:$B$61,A10)</f>
        <v>6</v>
      </c>
      <c r="C10" s="37">
        <f>COUNTIFS(Experiments!$B$2:$B$61,A10,Experiments!$V$2:$V$61,"&lt;&gt;")</f>
        <v>6</v>
      </c>
      <c r="D10" s="35">
        <f>IF(C10=0,"",_xlfn.MAXIFS(Experiments!$V$2:$V$61,Experiments!$B$2:$B$61,A10))</f>
        <v>0.9299782798759233</v>
      </c>
      <c r="E10" s="35">
        <f>IF(C10=0,"",_xlfn.MINIFS(Experiments!$V$2:$V$61,Experiments!$B$2:$B$61,A10))</f>
        <v>0.8972790101624074</v>
      </c>
      <c r="F10" s="35">
        <f>IF(C10=0,"",_xlfn.MAXIFS(Experiments!$U$2:$U$61,Experiments!$B$2:$B$61,A10))</f>
        <v>0.957584819603709</v>
      </c>
      <c r="G10" s="37" t="inlineStr">
        <is>
          <t>—</t>
        </is>
      </c>
      <c r="H10" s="38" t="inlineStr">
        <is>
          <t>AdamW 3e-3, M-wide, 60 epoch, cosine: val 0,9292 ± 0,0011 (3 seed), +0,073 so với baseline. Eval macro-F1 0,9342 (baseline 0,8618).</t>
        </is>
      </c>
    </row>
    <row r="11" ht="15" customHeight="1" s="20">
      <c r="A11" s="31" t="inlineStr">
        <is>
          <t>other</t>
        </is>
      </c>
      <c r="B11" s="37">
        <f>COUNTIF(Experiments!$B$2:$B$61,A11)</f>
        <v>0</v>
      </c>
      <c r="C11" s="37">
        <f>COUNTIFS(Experiments!$B$2:$B$61,A11,Experiments!$V$2:$V$61,"&lt;&gt;")</f>
        <v>0</v>
      </c>
      <c r="D11" s="35" t="str">
        <f>IF(C11=0,"",_xlfn.MAXIFS(Experiments!$V$2:$V$61,Experiments!$B$2:$B$61,A11))</f>
        <v/>
      </c>
      <c r="E11" s="35" t="str">
        <f>IF(C11=0,"",_xlfn.MINIFS(Experiments!$V$2:$V$61,Experiments!$B$2:$B$61,A11))</f>
        <v/>
      </c>
      <c r="F11" s="35" t="str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>7</v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2026-10-04T14:08:06Z</dcterms:modified>
  <cp:revision>0</cp:revision>
</cp:coreProperties>
</file>